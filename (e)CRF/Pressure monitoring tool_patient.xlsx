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tmp" ContentType="image/png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kuleuven-my.sharepoint.com/personal/janou_debuyser_kuleuven_be1/Documents/Documents/PhD Brugge/Site/(e)CRF/"/>
    </mc:Choice>
  </mc:AlternateContent>
  <xr:revisionPtr revIDLastSave="1044" documentId="8_{ED26CC68-7C05-4D39-8592-D9D42AE93F49}" xr6:coauthVersionLast="47" xr6:coauthVersionMax="47" xr10:uidLastSave="{2676337B-A3AE-4F6A-8AEB-A4ABAF347148}"/>
  <bookViews>
    <workbookView xWindow="-120" yWindow="-120" windowWidth="29040" windowHeight="15720" xr2:uid="{D8186157-3417-4030-89A9-46AA9F0BACB5}"/>
  </bookViews>
  <sheets>
    <sheet name="Meting" sheetId="4" r:id="rId1"/>
    <sheet name="Visit" sheetId="1" r:id="rId2"/>
    <sheet name="TEMPLATE (blank)" sheetId="3" r:id="rId3"/>
  </sheets>
  <definedNames>
    <definedName name="_xlnm.Print_Area" localSheetId="2">'TEMPLATE (blank)'!$A$1:$T$39</definedName>
    <definedName name="_xlnm.Print_Area" localSheetId="1">Visit!$A$1:$T$39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0" i="3" l="1"/>
  <c r="N30" i="3"/>
  <c r="F29" i="3"/>
  <c r="N29" i="3"/>
  <c r="F28" i="3"/>
  <c r="N28" i="3"/>
  <c r="F27" i="3"/>
  <c r="N27" i="3"/>
  <c r="F26" i="3"/>
  <c r="N26" i="3"/>
  <c r="F25" i="3"/>
  <c r="N25" i="3"/>
  <c r="F16" i="3"/>
  <c r="N16" i="3"/>
  <c r="F15" i="3"/>
  <c r="N15" i="3"/>
  <c r="F14" i="3"/>
  <c r="N14" i="3"/>
  <c r="F13" i="3"/>
  <c r="N13" i="3"/>
  <c r="F12" i="3"/>
  <c r="N12" i="3"/>
  <c r="F11" i="3"/>
  <c r="N11" i="3"/>
  <c r="F30" i="1"/>
  <c r="N30" i="1"/>
  <c r="F29" i="1"/>
  <c r="N29" i="1"/>
  <c r="F28" i="1"/>
  <c r="N28" i="1"/>
  <c r="F27" i="1"/>
  <c r="N27" i="1"/>
  <c r="F26" i="1"/>
  <c r="N26" i="1"/>
  <c r="F25" i="1"/>
  <c r="N25" i="1"/>
  <c r="F16" i="1"/>
  <c r="N16" i="1"/>
  <c r="F15" i="1"/>
  <c r="N15" i="1"/>
  <c r="F14" i="1"/>
  <c r="N14" i="1"/>
  <c r="F13" i="1"/>
  <c r="N13" i="1"/>
  <c r="F12" i="1"/>
  <c r="N12" i="1"/>
  <c r="F11" i="1"/>
  <c r="N11" i="1"/>
  <c r="H89" i="4"/>
  <c r="G89" i="4"/>
  <c r="H88" i="4"/>
  <c r="G88" i="4"/>
  <c r="H87" i="4"/>
  <c r="G87" i="4"/>
  <c r="H86" i="4"/>
  <c r="G86" i="4"/>
  <c r="H85" i="4"/>
  <c r="G85" i="4"/>
  <c r="H84" i="4"/>
  <c r="G84" i="4"/>
  <c r="H83" i="4"/>
  <c r="G83" i="4"/>
  <c r="H82" i="4"/>
  <c r="G82" i="4"/>
  <c r="H80" i="4"/>
  <c r="G80" i="4"/>
  <c r="H79" i="4"/>
  <c r="G79" i="4"/>
  <c r="H78" i="4"/>
  <c r="G78" i="4"/>
  <c r="H77" i="4"/>
  <c r="G77" i="4"/>
  <c r="H76" i="4"/>
  <c r="G76" i="4"/>
  <c r="H75" i="4"/>
  <c r="G75" i="4"/>
  <c r="H74" i="4"/>
  <c r="G74" i="4"/>
  <c r="H73" i="4"/>
  <c r="G73" i="4"/>
  <c r="H46" i="4"/>
  <c r="G46" i="4"/>
  <c r="H45" i="4"/>
  <c r="G45" i="4"/>
  <c r="H44" i="4"/>
  <c r="G44" i="4"/>
  <c r="H43" i="4"/>
  <c r="G43" i="4"/>
  <c r="H42" i="4"/>
  <c r="G42" i="4"/>
  <c r="H41" i="4"/>
  <c r="G41" i="4"/>
  <c r="H34" i="4"/>
  <c r="G34" i="4"/>
  <c r="H33" i="4"/>
  <c r="G33" i="4"/>
  <c r="H32" i="4"/>
  <c r="G32" i="4"/>
  <c r="H31" i="4"/>
  <c r="G31" i="4"/>
  <c r="H30" i="4"/>
  <c r="G30" i="4"/>
  <c r="H29" i="4"/>
  <c r="G29" i="4"/>
  <c r="G30" i="3"/>
  <c r="E30" i="3"/>
  <c r="G29" i="3"/>
  <c r="E29" i="3"/>
  <c r="J29" i="3" s="1"/>
  <c r="G28" i="3"/>
  <c r="X21" i="3" s="1"/>
  <c r="E28" i="3"/>
  <c r="G27" i="3"/>
  <c r="E27" i="3"/>
  <c r="J27" i="3" s="1"/>
  <c r="G26" i="3"/>
  <c r="R26" i="3" s="1"/>
  <c r="E26" i="3"/>
  <c r="H26" i="3" s="1"/>
  <c r="G25" i="3"/>
  <c r="X18" i="3" s="1"/>
  <c r="E25" i="3"/>
  <c r="Y23" i="3"/>
  <c r="X23" i="3"/>
  <c r="V23" i="3"/>
  <c r="Y22" i="3"/>
  <c r="X22" i="3"/>
  <c r="W22" i="3"/>
  <c r="V22" i="3"/>
  <c r="Y21" i="3"/>
  <c r="V21" i="3"/>
  <c r="Y20" i="3"/>
  <c r="X20" i="3"/>
  <c r="V20" i="3"/>
  <c r="Y19" i="3"/>
  <c r="X19" i="3"/>
  <c r="V19" i="3"/>
  <c r="Y18" i="3"/>
  <c r="W18" i="3"/>
  <c r="V18" i="3"/>
  <c r="G16" i="3"/>
  <c r="E16" i="3"/>
  <c r="W13" i="3" s="1"/>
  <c r="G15" i="3"/>
  <c r="G14" i="3"/>
  <c r="X11" i="3" s="1"/>
  <c r="L14" i="3"/>
  <c r="Y13" i="3"/>
  <c r="V13" i="3"/>
  <c r="L13" i="3"/>
  <c r="Y12" i="3"/>
  <c r="X12" i="3"/>
  <c r="W12" i="3"/>
  <c r="V12" i="3"/>
  <c r="W9" i="3"/>
  <c r="Y11" i="3"/>
  <c r="V11" i="3"/>
  <c r="Y10" i="3"/>
  <c r="V10" i="3"/>
  <c r="Y9" i="3"/>
  <c r="X9" i="3"/>
  <c r="V9" i="3"/>
  <c r="Y8" i="3"/>
  <c r="V8" i="3"/>
  <c r="Y23" i="1"/>
  <c r="X23" i="1"/>
  <c r="W23" i="1"/>
  <c r="V23" i="1"/>
  <c r="Y22" i="1"/>
  <c r="X22" i="1"/>
  <c r="W22" i="1"/>
  <c r="V22" i="1"/>
  <c r="Y21" i="1"/>
  <c r="X21" i="1"/>
  <c r="W21" i="1"/>
  <c r="V21" i="1"/>
  <c r="Y20" i="1"/>
  <c r="X20" i="1"/>
  <c r="W20" i="1"/>
  <c r="V20" i="1"/>
  <c r="Y19" i="1"/>
  <c r="X19" i="1"/>
  <c r="W19" i="1"/>
  <c r="V19" i="1"/>
  <c r="Y13" i="1"/>
  <c r="X13" i="1"/>
  <c r="W13" i="1"/>
  <c r="V13" i="1"/>
  <c r="Y12" i="1"/>
  <c r="X12" i="1"/>
  <c r="W12" i="1"/>
  <c r="V12" i="1"/>
  <c r="Y11" i="1"/>
  <c r="X11" i="1"/>
  <c r="W11" i="1"/>
  <c r="V11" i="1"/>
  <c r="Y10" i="1"/>
  <c r="X10" i="1"/>
  <c r="W10" i="1"/>
  <c r="V10" i="1"/>
  <c r="Y9" i="1"/>
  <c r="X9" i="1"/>
  <c r="W9" i="1"/>
  <c r="V9" i="1"/>
  <c r="Y18" i="1"/>
  <c r="X18" i="1"/>
  <c r="W18" i="1"/>
  <c r="V18" i="1"/>
  <c r="Y8" i="1"/>
  <c r="X8" i="1"/>
  <c r="W8" i="1"/>
  <c r="V8" i="1"/>
  <c r="G30" i="1"/>
  <c r="T30" i="1" s="1"/>
  <c r="E30" i="1"/>
  <c r="L30" i="1" s="1"/>
  <c r="G16" i="1"/>
  <c r="R16" i="1" s="1"/>
  <c r="E16" i="1"/>
  <c r="G29" i="1"/>
  <c r="R29" i="1" s="1"/>
  <c r="E29" i="1"/>
  <c r="G15" i="1"/>
  <c r="E15" i="1"/>
  <c r="H15" i="1" s="1"/>
  <c r="G28" i="1"/>
  <c r="H28" i="1" s="1"/>
  <c r="E28" i="1"/>
  <c r="G14" i="1"/>
  <c r="E14" i="1"/>
  <c r="L14" i="1" s="1"/>
  <c r="G27" i="1"/>
  <c r="E27" i="1"/>
  <c r="L27" i="1" s="1"/>
  <c r="G13" i="1"/>
  <c r="R13" i="1" s="1"/>
  <c r="E13" i="1"/>
  <c r="J13" i="1" s="1"/>
  <c r="G26" i="1"/>
  <c r="E26" i="1"/>
  <c r="J26" i="1" s="1"/>
  <c r="G12" i="1"/>
  <c r="P12" i="1" s="1"/>
  <c r="E12" i="1"/>
  <c r="L12" i="1" s="1"/>
  <c r="G25" i="1"/>
  <c r="E25" i="1"/>
  <c r="G11" i="1"/>
  <c r="E11" i="1"/>
  <c r="T15" i="1"/>
  <c r="T28" i="1"/>
  <c r="P27" i="1"/>
  <c r="P25" i="1"/>
  <c r="P11" i="1"/>
  <c r="L29" i="1"/>
  <c r="J29" i="1"/>
  <c r="R28" i="1"/>
  <c r="L28" i="1"/>
  <c r="J28" i="1"/>
  <c r="L25" i="1"/>
  <c r="J25" i="1"/>
  <c r="H25" i="1"/>
  <c r="L16" i="1"/>
  <c r="J16" i="1"/>
  <c r="H16" i="1"/>
  <c r="L15" i="1"/>
  <c r="J15" i="1"/>
  <c r="J14" i="1"/>
  <c r="H13" i="1"/>
  <c r="L11" i="1"/>
  <c r="J11" i="1"/>
  <c r="H11" i="1"/>
  <c r="T29" i="3" l="1"/>
  <c r="R15" i="3"/>
  <c r="T15" i="3"/>
  <c r="X13" i="3"/>
  <c r="X10" i="3"/>
  <c r="T14" i="3"/>
  <c r="H15" i="3"/>
  <c r="T27" i="3"/>
  <c r="R27" i="3"/>
  <c r="P27" i="3"/>
  <c r="H30" i="3"/>
  <c r="H25" i="3"/>
  <c r="H14" i="3"/>
  <c r="J15" i="3"/>
  <c r="L15" i="3"/>
  <c r="J13" i="3"/>
  <c r="W10" i="3"/>
  <c r="L27" i="3"/>
  <c r="H29" i="3"/>
  <c r="L29" i="3"/>
  <c r="W20" i="3"/>
  <c r="J26" i="3"/>
  <c r="L26" i="3"/>
  <c r="T11" i="3"/>
  <c r="P11" i="3"/>
  <c r="R11" i="3"/>
  <c r="T12" i="3"/>
  <c r="R12" i="3"/>
  <c r="P12" i="3"/>
  <c r="P13" i="3"/>
  <c r="T13" i="3"/>
  <c r="R13" i="3"/>
  <c r="R16" i="3"/>
  <c r="T16" i="3"/>
  <c r="P16" i="3"/>
  <c r="T30" i="3"/>
  <c r="R30" i="3"/>
  <c r="P30" i="3"/>
  <c r="W11" i="3"/>
  <c r="P15" i="3"/>
  <c r="W19" i="3"/>
  <c r="W23" i="3"/>
  <c r="R14" i="3"/>
  <c r="J11" i="3"/>
  <c r="W21" i="3"/>
  <c r="L25" i="3"/>
  <c r="J30" i="3"/>
  <c r="P26" i="3"/>
  <c r="J16" i="3"/>
  <c r="L28" i="3"/>
  <c r="L30" i="3"/>
  <c r="H28" i="3"/>
  <c r="H12" i="3"/>
  <c r="J28" i="3"/>
  <c r="T26" i="3"/>
  <c r="J25" i="3"/>
  <c r="W8" i="3"/>
  <c r="L11" i="3"/>
  <c r="X8" i="3"/>
  <c r="H27" i="3"/>
  <c r="J14" i="3"/>
  <c r="P29" i="3"/>
  <c r="H13" i="3"/>
  <c r="R29" i="3"/>
  <c r="H16" i="3"/>
  <c r="P14" i="3"/>
  <c r="J12" i="3"/>
  <c r="L16" i="3"/>
  <c r="H11" i="3"/>
  <c r="L12" i="3"/>
  <c r="T14" i="1"/>
  <c r="R14" i="1"/>
  <c r="P14" i="1"/>
  <c r="T26" i="1"/>
  <c r="P26" i="1"/>
  <c r="H29" i="1"/>
  <c r="H14" i="1"/>
  <c r="H27" i="1"/>
  <c r="L13" i="1"/>
  <c r="J27" i="1"/>
  <c r="P28" i="1"/>
  <c r="H30" i="1"/>
  <c r="J30" i="1"/>
  <c r="T16" i="1"/>
  <c r="P16" i="1"/>
  <c r="P29" i="1"/>
  <c r="T29" i="1"/>
  <c r="P15" i="1"/>
  <c r="R27" i="1"/>
  <c r="T27" i="1"/>
  <c r="L26" i="1"/>
  <c r="H26" i="1"/>
  <c r="R12" i="1"/>
  <c r="T12" i="1"/>
  <c r="H12" i="1"/>
  <c r="J12" i="1"/>
  <c r="R25" i="1"/>
  <c r="T25" i="1"/>
  <c r="T11" i="1"/>
  <c r="R11" i="1"/>
  <c r="R30" i="1"/>
  <c r="P30" i="1"/>
  <c r="R15" i="1"/>
  <c r="T13" i="1"/>
  <c r="P13" i="1"/>
  <c r="R26" i="1"/>
  <c r="R28" i="3" l="1"/>
  <c r="T28" i="3"/>
  <c r="P28" i="3"/>
  <c r="T25" i="3"/>
  <c r="R25" i="3"/>
  <c r="P25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Janou De Buyser</author>
  </authors>
  <commentList>
    <comment ref="Y5" authorId="0" shapeId="0" xr:uid="{D437B22C-0D45-43E3-8A69-D88E244ADEDD}">
      <text>
        <r>
          <rPr>
            <b/>
            <sz val="9"/>
            <color indexed="81"/>
            <rFont val="Tahoma"/>
            <charset val="1"/>
          </rPr>
          <t>Janou De Buyser:</t>
        </r>
        <r>
          <rPr>
            <sz val="9"/>
            <color indexed="81"/>
            <rFont val="Tahoma"/>
            <charset val="1"/>
          </rPr>
          <t xml:space="preserve">
Drempelwaarde voor pressure relief volgens de richtlijn (&gt;200 kPa). Pas hier aan indien nodig.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Janou De Buyser</author>
  </authors>
  <commentList>
    <comment ref="Y5" authorId="0" shapeId="0" xr:uid="{78D46782-F8B6-4D36-963B-CF4613E88FFA}">
      <text>
        <r>
          <rPr>
            <b/>
            <sz val="9"/>
            <color indexed="81"/>
            <rFont val="Tahoma"/>
            <charset val="1"/>
          </rPr>
          <t>Janou De Buyser:</t>
        </r>
        <r>
          <rPr>
            <sz val="9"/>
            <color indexed="81"/>
            <rFont val="Tahoma"/>
            <charset val="1"/>
          </rPr>
          <t xml:space="preserve">
Drempelwaarde voor pressure relief volgens de richtlijn (&gt;200 kPa). Pas hier aan indien nodig.</t>
        </r>
      </text>
    </comment>
  </commentList>
</comments>
</file>

<file path=xl/sharedStrings.xml><?xml version="1.0" encoding="utf-8"?>
<sst xmlns="http://schemas.openxmlformats.org/spreadsheetml/2006/main" count="356" uniqueCount="137">
  <si>
    <t>A_Right Hallux</t>
  </si>
  <si>
    <t>D_Right Meta 4-5</t>
  </si>
  <si>
    <t>F_Right Heel</t>
  </si>
  <si>
    <t>G_Left Hallux</t>
  </si>
  <si>
    <t>H_Left Metatarsal 1</t>
  </si>
  <si>
    <t>I_Left Meta 2-3</t>
  </si>
  <si>
    <t>J_Left Meta 4-5</t>
  </si>
  <si>
    <t>K_Left_Midfoot</t>
  </si>
  <si>
    <t>L_Left Heel</t>
  </si>
  <si>
    <t>LEFT</t>
  </si>
  <si>
    <t>Peak Pressure (kPa)</t>
  </si>
  <si>
    <t>RIGHT</t>
  </si>
  <si>
    <t>Patient ID:</t>
  </si>
  <si>
    <t>Date:</t>
  </si>
  <si>
    <t>History of foot ulcer (Left):</t>
  </si>
  <si>
    <t>History of foot ulcer (Right):</t>
  </si>
  <si>
    <t>Guidelines:</t>
  </si>
  <si>
    <t>B_Right Metatarsal 1</t>
  </si>
  <si>
    <t>C_Right  Meta 2-3</t>
  </si>
  <si>
    <t>E_Right_Midfoot</t>
  </si>
  <si>
    <t>Stance Average</t>
  </si>
  <si>
    <t>B_Right Meta 1</t>
  </si>
  <si>
    <t>C_Right Metat 2-3</t>
  </si>
  <si>
    <t>E_Right Midfoot</t>
  </si>
  <si>
    <t>Target region</t>
  </si>
  <si>
    <t>PARADISE PROJECT</t>
  </si>
  <si>
    <t>Pressure Monitoring Tool  |  Plantar peak pressure &amp; offloading follow-up</t>
  </si>
  <si>
    <t>RAW DATA EXPORT — BASELINE</t>
  </si>
  <si>
    <t>LEFT foot — peak pressure (kPa)</t>
  </si>
  <si>
    <t>Region</t>
  </si>
  <si>
    <t>Threshold 200 kPa</t>
  </si>
  <si>
    <t>RIGHT foot — peak pressure (kPa)</t>
  </si>
  <si>
    <t>Threshold (kPa):</t>
  </si>
  <si>
    <t>Chart data (auto-filled from the tables — do not edit)</t>
  </si>
  <si>
    <t>% verschil t.o.v. zonder zool</t>
  </si>
  <si>
    <t>Zonder zool</t>
  </si>
  <si>
    <t>Zonder zool — upper block = RIGHT foot, lower block = LEFT foot</t>
  </si>
  <si>
    <t>Met zool - sessie 1</t>
  </si>
  <si>
    <t>Met zool - sessie 2</t>
  </si>
  <si>
    <t>Met zool - sessie 3</t>
  </si>
  <si>
    <t>Met zool - sessie 1 — upper block = RIGHT foot, lower block = LEFT foot</t>
  </si>
  <si>
    <t>Drukmeting - invulblad voor de clinicus</t>
  </si>
  <si>
    <t>Hoort bij eCRF 09b (werkinstructie), eCRF 09 (baseline) en eCRF 24 (drukherverdeling). Invullen tijdens de meting.</t>
  </si>
  <si>
    <t>1. Identificatie</t>
  </si>
  <si>
    <t>Deelnemerscode</t>
  </si>
  <si>
    <t>Visite</t>
  </si>
  <si>
    <t>Datum</t>
  </si>
  <si>
    <t>Centrum</t>
  </si>
  <si>
    <t>Clinicus</t>
  </si>
  <si>
    <t>Schoeisel</t>
  </si>
  <si>
    <t>Zool links</t>
  </si>
  <si>
    <t>Zool rechts</t>
  </si>
  <si>
    <t>Sample rate</t>
  </si>
  <si>
    <t>binnenschoeisel</t>
  </si>
  <si>
    <t>100 Hz</t>
  </si>
  <si>
    <t>Zoolcode overnemen van het label (bv. XW.831L / XW.830R) en controleren dat het configuratiebestand dezelfde code draagt.</t>
  </si>
  <si>
    <t>Op visite 1 is er nog geen studieschoeisel: dan meet je in de schoenen waarmee de deelnemer binnenkomt, en alleen conditie A.</t>
  </si>
  <si>
    <t>2. Toestellen</t>
  </si>
  <si>
    <t>Toestel</t>
  </si>
  <si>
    <t>Naam</t>
  </si>
  <si>
    <t>Batterij (%)</t>
  </si>
  <si>
    <t>Configuratiebestand</t>
  </si>
  <si>
    <t>Links</t>
  </si>
  <si>
    <t>plidar-G009L</t>
  </si>
  <si>
    <t>Rechts</t>
  </si>
  <si>
    <t>plidar-G026R</t>
  </si>
  <si>
    <t>Minstens 30% batterij om te beginnen. Vergelijk het configuratiebestand letter voor letter met het zoollabel: de software waarschuwt niet.</t>
  </si>
  <si>
    <t>3. Afgelezen onderaan het MPP-scherm</t>
  </si>
  <si>
    <t>LINKS</t>
  </si>
  <si>
    <t>RECHTS</t>
  </si>
  <si>
    <t>Waarde</t>
  </si>
  <si>
    <t>A - zonder zool</t>
  </si>
  <si>
    <t>B - met zool</t>
  </si>
  <si>
    <t>Maximum force (N)</t>
  </si>
  <si>
    <t>Peak pressure (kPa)</t>
  </si>
  <si>
    <t>Average pressure (kPa)</t>
  </si>
  <si>
    <t>Loaded area (cm2)</t>
  </si>
  <si>
    <t>Voet</t>
  </si>
  <si>
    <t>Regio</t>
  </si>
  <si>
    <t>Met zool (kPa)</t>
  </si>
  <si>
    <t>Norm gehaald?</t>
  </si>
  <si>
    <t>Links 1</t>
  </si>
  <si>
    <t>Links 2</t>
  </si>
  <si>
    <t>Links 3</t>
  </si>
  <si>
    <t>Rechts 1</t>
  </si>
  <si>
    <t>Rechts 2</t>
  </si>
  <si>
    <t>Rechts 3</t>
  </si>
  <si>
    <t>5. De drie doelregio's</t>
  </si>
  <si>
    <t>Vanaf maand 6 niet opnieuw kiezen maar overnemen van het vorige formulier.</t>
  </si>
  <si>
    <t>Doelregio</t>
  </si>
  <si>
    <t>Reden</t>
  </si>
  <si>
    <t>Stijging &gt;= 5% t.o.v. vorige keer?</t>
  </si>
  <si>
    <t>Bij NEE, of bij een stijging van 5% of meer: de pedorthist past de zool aan en je meet opnieuw. Noteer de extra ontlastingstest op eCRF 24.</t>
  </si>
  <si>
    <t>6. Schermafbeelding van het MPP-beeld</t>
  </si>
  <si>
    <t>Windows + Shift + S, kader rond het voetbeeld en de kleurenschaal, dan Ctrl + V in het vak hieronder. Wijzig het palet nooit tussen deelnemers of visites.</t>
  </si>
  <si>
    <t>7. Per regio - acht regio's per voet</t>
  </si>
  <si>
    <t>Code</t>
  </si>
  <si>
    <t>A_Rechts</t>
  </si>
  <si>
    <t>Hallux</t>
  </si>
  <si>
    <t>B_Rechts</t>
  </si>
  <si>
    <t>Tenen 2-5</t>
  </si>
  <si>
    <t>C_Rechts</t>
  </si>
  <si>
    <t>Metatarsaal 1</t>
  </si>
  <si>
    <t>D_Rechts</t>
  </si>
  <si>
    <t>Metatarsaal 2-3</t>
  </si>
  <si>
    <t>E_Rechts</t>
  </si>
  <si>
    <t>Metatarsaal 4-5</t>
  </si>
  <si>
    <t>F_Rechts</t>
  </si>
  <si>
    <t>Mediale middenvoet</t>
  </si>
  <si>
    <t>G_Rechts</t>
  </si>
  <si>
    <t>Laterale middenvoet</t>
  </si>
  <si>
    <t>H_Rechts</t>
  </si>
  <si>
    <t>Hiel</t>
  </si>
  <si>
    <t>I_Links</t>
  </si>
  <si>
    <t>J_Links</t>
  </si>
  <si>
    <t>K_Links</t>
  </si>
  <si>
    <t>L_Links</t>
  </si>
  <si>
    <t>M_Links</t>
  </si>
  <si>
    <t>N_Links</t>
  </si>
  <si>
    <t>O_Links</t>
  </si>
  <si>
    <t>P_Links</t>
  </si>
  <si>
    <t>Opslaan en mailen naar janou.debuyser@kuleuven.be. Laat het bestand daarna op de laptop staan - verwijder het nooit zelf.</t>
  </si>
  <si>
    <t>Referentie: zonder zool op visite 2 (kPa)</t>
  </si>
  <si>
    <t>Zonder zool vandaag (kPa)</t>
  </si>
  <si>
    <t>% lager dan referentie</t>
  </si>
  <si>
    <t>4. Drie regio's per voet - de vorige voetzweer eerst</t>
  </si>
  <si>
    <t>Eerst de regio van de vorige voetzweer (eCRF 06), ook als de druk daar laag is; vul aan met de regio's met de hoogste piekdruk. De topkleur betekent: op of boven 200 kPa. Regionamen: zie blok 7.</t>
  </si>
  <si>
    <t>Norm: piekdruk met zool onder 200 kPa, OF minstens 25% lager dan de referentie. De referentie is de meting zonder zool op visite 2 en blijft op maand 6, 12 en 18 dezelfde. Op visite 2 vul je in kolom D dezelfde waarde in als in kolom E; op maand 6, 12 en 18 de waarde van visite 2.</t>
  </si>
  <si>
    <t>Op visite 2 aanduiden: de regio van de vorige voetzweer, aangevuld met de een of twee regio's met de hoogste piekdruk zonder zool (eCRF 24).</t>
  </si>
  <si>
    <t>In te vullen zodra het masker beschikbaar is; tot dan blijven blok 4 en 5 de werkwijze. De codes A tot P zijn de zestien maskervelden. Kolom D: de referentie zonder zool van visite 2.</t>
  </si>
  <si>
    <t>Visite 2 - aflevering CMFO (referentie)</t>
  </si>
  <si>
    <t>Opvolging - maand 6, 12 of 18</t>
  </si>
  <si>
    <t>Referentie: zonder zool visite 2</t>
  </si>
  <si>
    <t>% t.o.v. zonder zool V2</t>
  </si>
  <si>
    <t>Doelregio: top-2 &gt;200 kPa + vorige voetzweer</t>
  </si>
  <si>
    <t>Doelregio's: de regio van de vorige voetzweer - altijd, ook onder 200 kPa - aangevuld met de een of twee regio's met de hoogste piekdruk zonder zool (eCRF 24).</t>
  </si>
  <si>
    <t>Norm per doelregio: piekdruk met zool onder 200 kPa, of minstens 25% lager dan de referentie zonder zool op visite 2. Die referentie blijft op maand 6, 12 en 18 dezelfde. Pas de zool ook aan als de piekdruk met zool 5% of meer hoger ligt dan na de laatste aanpassing op visite 2: die cel kleurt oranje.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</si>
</sst>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38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24"/>
      <color rgb="FF1A4F9C"/>
      <name val="Aptos Narrow"/>
      <scheme val="minor"/>
    </font>
    <font>
      <sz val="11"/>
      <color rgb="FF6E7072"/>
      <name val="Aptos Narrow"/>
      <scheme val="minor"/>
    </font>
    <font>
      <b/>
      <sz val="13"/>
      <color rgb="FFFFFFFF"/>
      <name val="Aptos Narrow"/>
      <scheme val="minor"/>
    </font>
    <font>
      <b/>
      <sz val="14"/>
      <color rgb="FFFFFFFF"/>
      <name val="Aptos Narrow"/>
      <scheme val="minor"/>
    </font>
    <font>
      <b/>
      <sz val="11"/>
      <color rgb="FFFFFFFF"/>
      <name val="Aptos Narrow"/>
      <scheme val="minor"/>
    </font>
    <font>
      <b/>
      <sz val="10"/>
      <color rgb="FFFFFFFF"/>
      <name val="Aptos Narrow"/>
      <scheme val="minor"/>
    </font>
    <font>
      <b/>
      <sz val="9"/>
      <color rgb="FF1A4F9C"/>
      <name val="Aptos Narrow"/>
      <scheme val="minor"/>
    </font>
    <font>
      <b/>
      <sz val="11"/>
      <color rgb="FF20303F"/>
      <name val="Aptos Narrow"/>
      <scheme val="minor"/>
    </font>
    <font>
      <b/>
      <sz val="11"/>
      <color rgb="FF20303F"/>
      <name val="Aptos Narrow"/>
      <family val="2"/>
      <scheme val="minor"/>
    </font>
    <font>
      <sz val="11"/>
      <color rgb="FF20303F"/>
      <name val="Aptos Narrow"/>
      <family val="2"/>
      <scheme val="minor"/>
    </font>
    <font>
      <b/>
      <sz val="11"/>
      <color rgb="FFB26A00"/>
      <name val="Aptos Narrow"/>
      <family val="2"/>
      <scheme val="minor"/>
    </font>
    <font>
      <i/>
      <sz val="10"/>
      <color rgb="FF6E7072"/>
      <name val="Aptos Narrow"/>
      <scheme val="minor"/>
    </font>
    <font>
      <b/>
      <sz val="12"/>
      <color rgb="FF1A4F9C"/>
      <name val="Aptos Narrow"/>
      <scheme val="minor"/>
    </font>
    <font>
      <b/>
      <sz val="11"/>
      <color rgb="FF1A4F9C"/>
      <name val="Aptos Narrow"/>
      <scheme val="minor"/>
    </font>
    <font>
      <sz val="11"/>
      <color rgb="FF0000FF"/>
      <name val="Aptos Narrow"/>
      <scheme val="minor"/>
    </font>
    <font>
      <i/>
      <u/>
      <sz val="10"/>
      <color rgb="FF40484F"/>
      <name val="Aptos Narrow"/>
    </font>
    <font>
      <i/>
      <sz val="10"/>
      <color rgb="FF40484F"/>
      <name val="Aptos Narrow"/>
    </font>
    <font>
      <b/>
      <sz val="11"/>
      <color rgb="FF0000FF"/>
      <name val="Aptos Narrow"/>
      <family val="2"/>
      <scheme val="minor"/>
    </font>
    <font>
      <sz val="9"/>
      <color indexed="81"/>
      <name val="Tahoma"/>
      <charset val="1"/>
    </font>
    <font>
      <b/>
      <sz val="9"/>
      <color indexed="81"/>
      <name val="Tahoma"/>
      <charset val="1"/>
    </font>
    <font>
      <b/>
      <sz val="9"/>
      <color rgb="FFFFFFFF"/>
      <name val="Aptos Narrow"/>
      <scheme val="minor"/>
    </font>
    <font>
      <sz val="9"/>
      <color theme="1"/>
      <name val="Aptos Narrow"/>
      <scheme val="minor"/>
    </font>
    <font>
      <i/>
      <sz val="9"/>
      <color rgb="FF6E7072"/>
      <name val="Aptos Narrow"/>
      <scheme val="minor"/>
    </font>
    <font>
      <b/>
      <sz val="12"/>
      <color rgb="FF123A5F"/>
      <name val="Arial"/>
      <family val="2"/>
    </font>
    <font>
      <b/>
      <sz val="14"/>
      <color rgb="FF123A5F"/>
      <name val="Arial"/>
      <family val="2"/>
    </font>
    <font>
      <i/>
      <sz val="9"/>
      <color theme="1"/>
      <name val="Arial"/>
      <family val="2"/>
    </font>
    <font>
      <b/>
      <sz val="11"/>
      <color rgb="FF123A5F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0"/>
      <color rgb="FF123A5F"/>
      <name val="Arial"/>
      <family val="2"/>
    </font>
    <font>
      <b/>
      <sz val="9"/>
      <color theme="1"/>
      <name val="Arial"/>
      <family val="2"/>
    </font>
  </fonts>
  <fills count="1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1A4F9C"/>
        <bgColor indexed="64"/>
      </patternFill>
    </fill>
    <fill>
      <patternFill patternType="solid">
        <fgColor rgb="FF29A8DF"/>
        <bgColor indexed="64"/>
      </patternFill>
    </fill>
    <fill>
      <patternFill patternType="solid">
        <fgColor rgb="FF6E7072"/>
        <bgColor indexed="64"/>
      </patternFill>
    </fill>
    <fill>
      <patternFill patternType="solid">
        <fgColor rgb="FFF5A623"/>
        <bgColor indexed="64"/>
      </patternFill>
    </fill>
    <fill>
      <patternFill patternType="solid">
        <fgColor rgb="FFEAF1FA"/>
        <bgColor indexed="64"/>
      </patternFill>
    </fill>
    <fill>
      <patternFill patternType="solid">
        <fgColor rgb="FFF5F8FC"/>
        <bgColor indexed="64"/>
      </patternFill>
    </fill>
    <fill>
      <patternFill patternType="solid">
        <fgColor rgb="FFFFFFD9"/>
        <bgColor indexed="64"/>
      </patternFill>
    </fill>
    <fill>
      <patternFill patternType="solid">
        <fgColor rgb="FFE6E6E6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BFD3EA"/>
      </left>
      <right style="thin">
        <color rgb="FFBFD3EA"/>
      </right>
      <top style="thin">
        <color rgb="FFBFD3EA"/>
      </top>
      <bottom style="thin">
        <color rgb="FFBFD3EA"/>
      </bottom>
      <diagonal/>
    </border>
    <border>
      <left style="thin">
        <color indexed="64"/>
      </left>
      <right/>
      <top style="thin">
        <color indexed="64"/>
      </top>
      <bottom style="thin">
        <color rgb="FF1A4F9C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1A4F9C"/>
      </bottom>
      <diagonal/>
    </border>
    <border>
      <left style="thin">
        <color rgb="FFBFD3EA"/>
      </left>
      <right style="thin">
        <color rgb="FFBFD3EA"/>
      </right>
      <top style="thin">
        <color indexed="64"/>
      </top>
      <bottom style="thin">
        <color rgb="FFBFD3EA"/>
      </bottom>
      <diagonal/>
    </border>
    <border>
      <left style="thick">
        <color rgb="FFF5A623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7">
    <xf numFmtId="0" fontId="0" fillId="0" borderId="0" xfId="0"/>
    <xf numFmtId="0" fontId="0" fillId="0" borderId="0" xfId="0" applyAlignment="1">
      <alignment vertical="center" wrapText="1"/>
    </xf>
    <xf numFmtId="0" fontId="0" fillId="0" borderId="0" xfId="0" applyAlignment="1">
      <alignment horizontal="center"/>
    </xf>
    <xf numFmtId="0" fontId="4" fillId="2" borderId="0" xfId="0" applyFont="1" applyFill="1"/>
    <xf numFmtId="0" fontId="0" fillId="0" borderId="0" xfId="0" applyAlignment="1">
      <alignment horizontal="center" vertical="center"/>
    </xf>
    <xf numFmtId="0" fontId="0" fillId="3" borderId="0" xfId="0" applyFill="1"/>
    <xf numFmtId="0" fontId="4" fillId="3" borderId="0" xfId="0" applyFont="1" applyFill="1"/>
    <xf numFmtId="0" fontId="0" fillId="2" borderId="0" xfId="0" applyFill="1"/>
    <xf numFmtId="0" fontId="2" fillId="0" borderId="0" xfId="0" applyFont="1"/>
    <xf numFmtId="0" fontId="2" fillId="2" borderId="0" xfId="0" applyFont="1" applyFill="1"/>
    <xf numFmtId="0" fontId="0" fillId="4" borderId="0" xfId="0" applyFill="1"/>
    <xf numFmtId="0" fontId="3" fillId="0" borderId="0" xfId="0" applyFont="1" applyAlignment="1">
      <alignment vertical="center" wrapText="1"/>
    </xf>
    <xf numFmtId="0" fontId="3" fillId="0" borderId="0" xfId="0" applyFont="1" applyAlignment="1">
      <alignment horizontal="center"/>
    </xf>
    <xf numFmtId="0" fontId="0" fillId="5" borderId="0" xfId="0" applyFill="1"/>
    <xf numFmtId="0" fontId="0" fillId="6" borderId="0" xfId="0" applyFill="1"/>
    <xf numFmtId="0" fontId="5" fillId="0" borderId="0" xfId="0" applyFont="1"/>
    <xf numFmtId="0" fontId="3" fillId="0" borderId="0" xfId="0" applyFont="1"/>
    <xf numFmtId="0" fontId="5" fillId="0" borderId="0" xfId="0" applyFont="1" applyAlignment="1">
      <alignment horizontal="center" vertical="center"/>
    </xf>
    <xf numFmtId="14" fontId="5" fillId="0" borderId="0" xfId="0" applyNumberFormat="1" applyFont="1" applyAlignment="1">
      <alignment horizontal="center"/>
    </xf>
    <xf numFmtId="0" fontId="3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4" fillId="0" borderId="0" xfId="0" applyFont="1"/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horizontal="center"/>
    </xf>
    <xf numFmtId="0" fontId="0" fillId="0" borderId="4" xfId="0" applyBorder="1"/>
    <xf numFmtId="0" fontId="16" fillId="5" borderId="0" xfId="0" applyFont="1" applyFill="1" applyAlignment="1">
      <alignment horizontal="center" vertical="center"/>
    </xf>
    <xf numFmtId="0" fontId="0" fillId="0" borderId="11" xfId="0" applyBorder="1"/>
    <xf numFmtId="0" fontId="4" fillId="0" borderId="11" xfId="0" applyFont="1" applyBorder="1"/>
    <xf numFmtId="0" fontId="13" fillId="10" borderId="11" xfId="0" applyFont="1" applyFill="1" applyBorder="1" applyAlignment="1">
      <alignment horizontal="center" vertical="center" wrapText="1"/>
    </xf>
    <xf numFmtId="0" fontId="14" fillId="11" borderId="11" xfId="0" applyFont="1" applyFill="1" applyBorder="1" applyAlignment="1">
      <alignment horizontal="center" vertical="center" wrapText="1"/>
    </xf>
    <xf numFmtId="0" fontId="14" fillId="11" borderId="11" xfId="0" applyFont="1" applyFill="1" applyBorder="1" applyAlignment="1">
      <alignment vertical="center" wrapText="1"/>
    </xf>
    <xf numFmtId="0" fontId="15" fillId="5" borderId="11" xfId="0" applyFont="1" applyFill="1" applyBorder="1" applyAlignment="1">
      <alignment horizontal="center" vertical="center" wrapText="1"/>
    </xf>
    <xf numFmtId="0" fontId="17" fillId="5" borderId="11" xfId="0" applyFont="1" applyFill="1" applyBorder="1" applyAlignment="1">
      <alignment horizontal="center" vertical="center" wrapText="1"/>
    </xf>
    <xf numFmtId="0" fontId="16" fillId="5" borderId="11" xfId="0" applyFont="1" applyFill="1" applyBorder="1" applyAlignment="1">
      <alignment horizontal="center" vertical="center"/>
    </xf>
    <xf numFmtId="0" fontId="16" fillId="5" borderId="11" xfId="0" applyFont="1" applyFill="1" applyBorder="1" applyAlignment="1">
      <alignment horizontal="center" vertical="center" wrapText="1"/>
    </xf>
    <xf numFmtId="0" fontId="4" fillId="0" borderId="10" xfId="0" applyFont="1" applyBorder="1"/>
    <xf numFmtId="164" fontId="16" fillId="5" borderId="11" xfId="0" applyNumberFormat="1" applyFont="1" applyFill="1" applyBorder="1" applyAlignment="1">
      <alignment horizontal="center" vertical="center"/>
    </xf>
    <xf numFmtId="0" fontId="18" fillId="0" borderId="0" xfId="0" applyFont="1"/>
    <xf numFmtId="0" fontId="19" fillId="0" borderId="0" xfId="0" applyFont="1"/>
    <xf numFmtId="0" fontId="0" fillId="11" borderId="0" xfId="0" applyFill="1" applyAlignment="1">
      <alignment horizontal="center"/>
    </xf>
    <xf numFmtId="0" fontId="0" fillId="11" borderId="0" xfId="0" applyFill="1"/>
    <xf numFmtId="0" fontId="4" fillId="0" borderId="0" xfId="0" applyFont="1" applyAlignment="1">
      <alignment vertical="center" wrapText="1"/>
    </xf>
    <xf numFmtId="0" fontId="0" fillId="11" borderId="0" xfId="0" applyFill="1" applyAlignment="1">
      <alignment horizontal="center" vertical="center"/>
    </xf>
    <xf numFmtId="0" fontId="2" fillId="11" borderId="0" xfId="0" applyFont="1" applyFill="1"/>
    <xf numFmtId="0" fontId="2" fillId="11" borderId="0" xfId="0" applyFont="1" applyFill="1" applyAlignment="1">
      <alignment horizontal="center" vertical="center"/>
    </xf>
    <xf numFmtId="0" fontId="2" fillId="11" borderId="0" xfId="0" applyFont="1" applyFill="1" applyAlignment="1">
      <alignment horizontal="center"/>
    </xf>
    <xf numFmtId="0" fontId="0" fillId="11" borderId="15" xfId="0" applyFill="1" applyBorder="1"/>
    <xf numFmtId="0" fontId="22" fillId="11" borderId="15" xfId="0" applyFont="1" applyFill="1" applyBorder="1"/>
    <xf numFmtId="0" fontId="23" fillId="11" borderId="15" xfId="0" applyFont="1" applyFill="1" applyBorder="1" applyAlignment="1">
      <alignment horizontal="left" vertical="center"/>
    </xf>
    <xf numFmtId="0" fontId="24" fillId="2" borderId="0" xfId="0" applyFont="1" applyFill="1"/>
    <xf numFmtId="0" fontId="20" fillId="2" borderId="0" xfId="0" applyFont="1" applyFill="1" applyAlignment="1">
      <alignment horizontal="right"/>
    </xf>
    <xf numFmtId="0" fontId="13" fillId="11" borderId="2" xfId="0" applyFont="1" applyFill="1" applyBorder="1" applyAlignment="1">
      <alignment horizontal="center" vertical="center"/>
    </xf>
    <xf numFmtId="0" fontId="27" fillId="8" borderId="11" xfId="0" applyFont="1" applyFill="1" applyBorder="1" applyAlignment="1">
      <alignment horizontal="center" vertical="center" wrapText="1"/>
    </xf>
    <xf numFmtId="0" fontId="12" fillId="8" borderId="11" xfId="0" applyFont="1" applyFill="1" applyBorder="1" applyAlignment="1">
      <alignment horizontal="center" vertical="center"/>
    </xf>
    <xf numFmtId="0" fontId="12" fillId="9" borderId="11" xfId="0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13" fillId="11" borderId="0" xfId="0" applyFont="1" applyFill="1" applyAlignment="1">
      <alignment vertical="center"/>
    </xf>
    <xf numFmtId="0" fontId="5" fillId="11" borderId="0" xfId="0" applyFont="1" applyFill="1" applyAlignment="1">
      <alignment vertical="center"/>
    </xf>
    <xf numFmtId="14" fontId="21" fillId="5" borderId="13" xfId="0" applyNumberFormat="1" applyFont="1" applyFill="1" applyBorder="1" applyAlignment="1">
      <alignment horizontal="center" vertical="center"/>
    </xf>
    <xf numFmtId="0" fontId="0" fillId="11" borderId="0" xfId="0" applyFill="1" applyAlignment="1">
      <alignment vertical="center"/>
    </xf>
    <xf numFmtId="0" fontId="28" fillId="2" borderId="0" xfId="0" applyFont="1" applyFill="1"/>
    <xf numFmtId="0" fontId="13" fillId="2" borderId="0" xfId="0" applyFont="1" applyFill="1"/>
    <xf numFmtId="0" fontId="29" fillId="2" borderId="0" xfId="0" applyFont="1" applyFill="1"/>
    <xf numFmtId="0" fontId="30" fillId="0" borderId="0" xfId="0" applyFont="1"/>
    <xf numFmtId="0" fontId="31" fillId="0" borderId="0" xfId="0" applyFont="1"/>
    <xf numFmtId="0" fontId="32" fillId="0" borderId="0" xfId="0" applyFont="1"/>
    <xf numFmtId="0" fontId="33" fillId="0" borderId="0" xfId="0" applyFont="1"/>
    <xf numFmtId="0" fontId="34" fillId="0" borderId="0" xfId="0" applyFont="1"/>
    <xf numFmtId="0" fontId="35" fillId="0" borderId="0" xfId="0" applyFont="1"/>
    <xf numFmtId="0" fontId="0" fillId="12" borderId="16" xfId="0" applyFill="1" applyBorder="1"/>
    <xf numFmtId="0" fontId="36" fillId="0" borderId="0" xfId="0" applyFont="1"/>
    <xf numFmtId="0" fontId="37" fillId="0" borderId="0" xfId="0" applyFont="1"/>
    <xf numFmtId="0" fontId="0" fillId="13" borderId="16" xfId="0" applyFill="1" applyBorder="1"/>
    <xf numFmtId="165" fontId="0" fillId="0" borderId="0" xfId="0" applyNumberFormat="1"/>
    <xf numFmtId="0" fontId="7" fillId="0" borderId="0" xfId="0" applyFont="1"/>
    <xf numFmtId="0" fontId="0" fillId="0" borderId="0" xfId="0"/>
    <xf numFmtId="0" fontId="8" fillId="0" borderId="0" xfId="0" applyFont="1"/>
    <xf numFmtId="0" fontId="9" fillId="6" borderId="6" xfId="0" applyFont="1" applyFill="1" applyBorder="1" applyAlignment="1">
      <alignment horizontal="center" vertical="center" wrapText="1"/>
    </xf>
    <xf numFmtId="0" fontId="9" fillId="6" borderId="7" xfId="0" applyFont="1" applyFill="1" applyBorder="1" applyAlignment="1">
      <alignment horizontal="center" vertical="center" wrapText="1"/>
    </xf>
    <xf numFmtId="0" fontId="9" fillId="6" borderId="8" xfId="0" applyFont="1" applyFill="1" applyBorder="1" applyAlignment="1">
      <alignment horizontal="center" vertical="center" wrapText="1"/>
    </xf>
    <xf numFmtId="0" fontId="11" fillId="7" borderId="11" xfId="0" applyFont="1" applyFill="1" applyBorder="1" applyAlignment="1">
      <alignment horizontal="center" vertical="center" wrapText="1"/>
    </xf>
    <xf numFmtId="0" fontId="0" fillId="0" borderId="11" xfId="0" applyBorder="1" applyAlignment="1">
      <alignment horizontal="center" vertical="center" wrapText="1"/>
    </xf>
    <xf numFmtId="0" fontId="21" fillId="5" borderId="12" xfId="0" applyFont="1" applyFill="1" applyBorder="1" applyAlignment="1">
      <alignment vertical="center" wrapText="1"/>
    </xf>
    <xf numFmtId="0" fontId="0" fillId="11" borderId="3" xfId="0" applyFill="1" applyBorder="1" applyAlignment="1">
      <alignment vertical="center" wrapText="1"/>
    </xf>
    <xf numFmtId="0" fontId="0" fillId="11" borderId="4" xfId="0" applyFill="1" applyBorder="1" applyAlignment="1">
      <alignment vertical="center" wrapText="1"/>
    </xf>
    <xf numFmtId="0" fontId="10" fillId="7" borderId="6" xfId="0" applyFont="1" applyFill="1" applyBorder="1" applyAlignment="1">
      <alignment horizontal="center" vertical="center" wrapText="1"/>
    </xf>
    <xf numFmtId="0" fontId="10" fillId="7" borderId="7" xfId="0" applyFont="1" applyFill="1" applyBorder="1" applyAlignment="1">
      <alignment horizontal="center" vertical="center" wrapText="1"/>
    </xf>
    <xf numFmtId="0" fontId="10" fillId="7" borderId="5" xfId="0" applyFont="1" applyFill="1" applyBorder="1" applyAlignment="1">
      <alignment horizontal="center" vertical="center" wrapText="1"/>
    </xf>
    <xf numFmtId="0" fontId="10" fillId="7" borderId="0" xfId="0" applyFont="1" applyFill="1" applyAlignment="1">
      <alignment horizontal="center" vertical="center" wrapText="1"/>
    </xf>
    <xf numFmtId="0" fontId="10" fillId="7" borderId="9" xfId="0" applyFont="1" applyFill="1" applyBorder="1" applyAlignment="1">
      <alignment horizontal="center" vertical="center" wrapText="1"/>
    </xf>
    <xf numFmtId="0" fontId="10" fillId="7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1" fillId="5" borderId="14" xfId="0" applyFont="1" applyFill="1" applyBorder="1" applyAlignment="1">
      <alignment vertical="center" wrapText="1"/>
    </xf>
    <xf numFmtId="0" fontId="0" fillId="0" borderId="3" xfId="0" applyBorder="1" applyAlignment="1">
      <alignment wrapText="1"/>
    </xf>
    <xf numFmtId="0" fontId="0" fillId="0" borderId="4" xfId="0" applyBorder="1" applyAlignment="1">
      <alignment wrapText="1"/>
    </xf>
    <xf numFmtId="0" fontId="35" fillId="0" borderId="0" xfId="0" applyFont="1" applyAlignment="1">
      <alignment wrapText="1"/>
    </xf>
    <xf numFmtId="0" fontId="0" fillId="0" borderId="0" xfId="0" applyAlignment="1">
      <alignment wrapText="1"/>
    </xf>
    <xf numFmtId="0" fontId="37" fillId="0" borderId="0" xfId="0" applyFont="1" applyAlignment="1">
      <alignment vertical="top" wrapText="1"/>
    </xf>
  </cellXfs>
  <cellStyles count="1">
    <cellStyle name="Standaard" xfId="0" builtinId="0"/>
  </cellStyles>
  <dxfs count="84">
    <dxf>
      <fill>
        <patternFill>
          <bgColor rgb="FFFFC78C"/>
        </patternFill>
      </fill>
    </dxf>
    <dxf>
      <fill>
        <patternFill>
          <bgColor rgb="FFFFC78C"/>
        </patternFill>
      </fill>
    </dxf>
    <dxf>
      <fill>
        <patternFill>
          <bgColor rgb="FFFFC78C"/>
        </patternFill>
      </fill>
    </dxf>
    <dxf>
      <fill>
        <patternFill>
          <bgColor rgb="FFFFC78C"/>
        </patternFill>
      </fill>
    </dxf>
    <dxf>
      <font>
        <color rgb="FF0F6B33"/>
      </font>
      <fill>
        <patternFill patternType="solid">
          <fgColor indexed="64"/>
          <bgColor rgb="FFE9F7EE"/>
        </patternFill>
      </fill>
    </dxf>
    <dxf>
      <font>
        <b/>
        <i val="0"/>
        <color rgb="FFB3261E"/>
      </font>
      <fill>
        <patternFill patternType="solid">
          <fgColor indexed="64"/>
          <bgColor rgb="FFFDE7E9"/>
        </patternFill>
      </fill>
    </dxf>
    <dxf>
      <fill>
        <patternFill>
          <bgColor rgb="FFFFC78C"/>
        </patternFill>
      </fill>
    </dxf>
    <dxf>
      <font>
        <color rgb="FF0F6B33"/>
      </font>
      <fill>
        <patternFill patternType="solid">
          <fgColor indexed="64"/>
          <bgColor rgb="FFE9F7EE"/>
        </patternFill>
      </fill>
    </dxf>
    <dxf>
      <font>
        <b/>
        <i val="0"/>
        <color rgb="FFB3261E"/>
      </font>
      <fill>
        <patternFill patternType="solid">
          <fgColor indexed="64"/>
          <bgColor rgb="FFFDE7E9"/>
        </patternFill>
      </fill>
    </dxf>
    <dxf>
      <fill>
        <patternFill>
          <bgColor rgb="FFFFC78C"/>
        </patternFill>
      </fill>
    </dxf>
    <dxf>
      <font>
        <color rgb="FF0F6B33"/>
      </font>
      <fill>
        <patternFill patternType="solid">
          <fgColor indexed="64"/>
          <bgColor rgb="FFE9F7EE"/>
        </patternFill>
      </fill>
    </dxf>
    <dxf>
      <font>
        <b/>
        <i val="0"/>
        <color rgb="FFB3261E"/>
      </font>
      <fill>
        <patternFill patternType="solid">
          <fgColor indexed="64"/>
          <bgColor rgb="FFFDE7E9"/>
        </patternFill>
      </fill>
    </dxf>
    <dxf>
      <fill>
        <patternFill>
          <bgColor rgb="FFFFC78C"/>
        </patternFill>
      </fill>
    </dxf>
    <dxf>
      <fill>
        <patternFill>
          <bgColor rgb="FFFFC78C"/>
        </patternFill>
      </fill>
    </dxf>
    <dxf>
      <fill>
        <patternFill>
          <bgColor rgb="FFFFC78C"/>
        </patternFill>
      </fill>
    </dxf>
    <dxf>
      <fill>
        <patternFill>
          <bgColor rgb="FFFFC78C"/>
        </patternFill>
      </fill>
    </dxf>
    <dxf>
      <font>
        <color rgb="FF0F6B33"/>
      </font>
      <fill>
        <patternFill patternType="solid">
          <fgColor indexed="64"/>
          <bgColor rgb="FFE9F7EE"/>
        </patternFill>
      </fill>
    </dxf>
    <dxf>
      <font>
        <b/>
        <i val="0"/>
        <color rgb="FFB3261E"/>
      </font>
      <fill>
        <patternFill patternType="solid">
          <fgColor indexed="64"/>
          <bgColor rgb="FFFDE7E9"/>
        </patternFill>
      </fill>
    </dxf>
    <dxf>
      <fill>
        <patternFill>
          <bgColor rgb="FFFFC78C"/>
        </patternFill>
      </fill>
    </dxf>
    <dxf>
      <font>
        <color rgb="FF0F6B33"/>
      </font>
      <fill>
        <patternFill patternType="solid">
          <fgColor indexed="64"/>
          <bgColor rgb="FFE9F7EE"/>
        </patternFill>
      </fill>
    </dxf>
    <dxf>
      <font>
        <b/>
        <i val="0"/>
        <color rgb="FFB3261E"/>
      </font>
      <fill>
        <patternFill patternType="solid">
          <fgColor indexed="64"/>
          <bgColor rgb="FFFDE7E9"/>
        </patternFill>
      </fill>
    </dxf>
    <dxf>
      <fill>
        <patternFill>
          <bgColor rgb="FFFFC78C"/>
        </patternFill>
      </fill>
    </dxf>
    <dxf>
      <font>
        <color rgb="FF0F6B33"/>
      </font>
      <fill>
        <patternFill patternType="solid">
          <fgColor indexed="64"/>
          <bgColor rgb="FFE9F7EE"/>
        </patternFill>
      </fill>
    </dxf>
    <dxf>
      <font>
        <b/>
        <i val="0"/>
        <color rgb="FFB3261E"/>
      </font>
      <fill>
        <patternFill patternType="solid">
          <fgColor indexed="64"/>
          <bgColor rgb="FFFDE7E9"/>
        </patternFill>
      </fill>
    </dxf>
    <dxf>
      <font>
        <b/>
        <i val="0"/>
        <color rgb="FFFFFFFF"/>
      </font>
      <fill>
        <patternFill patternType="solid">
          <fgColor indexed="64"/>
          <bgColor rgb="FFE23B4E"/>
        </patternFill>
      </fill>
    </dxf>
    <dxf>
      <font>
        <b/>
        <i val="0"/>
        <color rgb="FFFFFFFF"/>
      </font>
      <fill>
        <patternFill patternType="solid">
          <fgColor indexed="64"/>
          <bgColor rgb="FFE23B4E"/>
        </patternFill>
      </fill>
    </dxf>
    <dxf>
      <font>
        <color rgb="FF0F6B33"/>
      </font>
      <fill>
        <patternFill patternType="solid">
          <fgColor indexed="64"/>
          <bgColor rgb="FFE9F7EE"/>
        </patternFill>
      </fill>
    </dxf>
    <dxf>
      <font>
        <b/>
        <i val="0"/>
        <color rgb="FFB3261E"/>
      </font>
      <fill>
        <patternFill patternType="solid">
          <fgColor indexed="64"/>
          <bgColor rgb="FFFDE7E9"/>
        </patternFill>
      </fill>
    </dxf>
    <dxf>
      <font>
        <b/>
        <i val="0"/>
        <color rgb="FFFFFFFF"/>
      </font>
      <fill>
        <patternFill patternType="solid">
          <fgColor indexed="64"/>
          <bgColor rgb="FFE23B4E"/>
        </patternFill>
      </fill>
    </dxf>
    <dxf>
      <font>
        <b/>
        <i val="0"/>
        <color rgb="FFFFFFFF"/>
      </font>
      <fill>
        <patternFill patternType="solid">
          <fgColor indexed="64"/>
          <bgColor rgb="FFE23B4E"/>
        </patternFill>
      </fill>
    </dxf>
    <dxf>
      <font>
        <color rgb="FF0F6B33"/>
      </font>
      <fill>
        <patternFill patternType="solid">
          <fgColor indexed="64"/>
          <bgColor rgb="FFE9F7EE"/>
        </patternFill>
      </fill>
    </dxf>
    <dxf>
      <font>
        <b/>
        <i val="0"/>
        <color rgb="FFB3261E"/>
      </font>
      <fill>
        <patternFill patternType="solid">
          <fgColor indexed="64"/>
          <bgColor rgb="FFFDE7E9"/>
        </patternFill>
      </fill>
    </dxf>
    <dxf>
      <font>
        <b/>
        <i val="0"/>
        <color rgb="FFFFFFFF"/>
      </font>
      <fill>
        <patternFill patternType="solid">
          <fgColor indexed="64"/>
          <bgColor rgb="FFE23B4E"/>
        </patternFill>
      </fill>
    </dxf>
    <dxf>
      <font>
        <b/>
        <i val="0"/>
        <color rgb="FFFFFFFF"/>
      </font>
      <fill>
        <patternFill patternType="solid">
          <fgColor indexed="64"/>
          <bgColor rgb="FFE23B4E"/>
        </patternFill>
      </fill>
    </dxf>
    <dxf>
      <font>
        <color rgb="FF0F6B33"/>
      </font>
      <fill>
        <patternFill patternType="solid">
          <fgColor indexed="64"/>
          <bgColor rgb="FFE9F7EE"/>
        </patternFill>
      </fill>
    </dxf>
    <dxf>
      <font>
        <b/>
        <i val="0"/>
        <color rgb="FFB3261E"/>
      </font>
      <fill>
        <patternFill patternType="solid">
          <fgColor indexed="64"/>
          <bgColor rgb="FFFDE7E9"/>
        </patternFill>
      </fill>
    </dxf>
    <dxf>
      <font>
        <color rgb="FF0F6B33"/>
      </font>
      <fill>
        <patternFill patternType="solid">
          <fgColor indexed="64"/>
          <bgColor rgb="FFE9F7EE"/>
        </patternFill>
      </fill>
    </dxf>
    <dxf>
      <font>
        <b/>
        <i val="0"/>
        <color rgb="FFB3261E"/>
      </font>
      <fill>
        <patternFill patternType="solid">
          <fgColor indexed="64"/>
          <bgColor rgb="FFFDE7E9"/>
        </patternFill>
      </fill>
    </dxf>
    <dxf>
      <font>
        <color rgb="FF0F6B33"/>
      </font>
      <fill>
        <patternFill patternType="solid">
          <fgColor indexed="64"/>
          <bgColor rgb="FFE9F7EE"/>
        </patternFill>
      </fill>
    </dxf>
    <dxf>
      <font>
        <b/>
        <i val="0"/>
        <color rgb="FFB3261E"/>
      </font>
      <fill>
        <patternFill patternType="solid">
          <fgColor indexed="64"/>
          <bgColor rgb="FFFDE7E9"/>
        </patternFill>
      </fill>
    </dxf>
    <dxf>
      <font>
        <color rgb="FF0F6B33"/>
      </font>
      <fill>
        <patternFill patternType="solid">
          <fgColor indexed="64"/>
          <bgColor rgb="FFE9F7EE"/>
        </patternFill>
      </fill>
    </dxf>
    <dxf>
      <font>
        <b/>
        <i val="0"/>
        <color rgb="FFB3261E"/>
      </font>
      <fill>
        <patternFill patternType="solid">
          <fgColor indexed="64"/>
          <bgColor rgb="FFFDE7E9"/>
        </patternFill>
      </fill>
    </dxf>
    <dxf>
      <font>
        <color rgb="FF0F6B33"/>
      </font>
      <fill>
        <patternFill patternType="solid">
          <fgColor indexed="64"/>
          <bgColor rgb="FFE9F7EE"/>
        </patternFill>
      </fill>
    </dxf>
    <dxf>
      <font>
        <b/>
        <i val="0"/>
        <color rgb="FFB3261E"/>
      </font>
      <fill>
        <patternFill patternType="solid">
          <fgColor indexed="64"/>
          <bgColor rgb="FFFDE7E9"/>
        </patternFill>
      </fill>
    </dxf>
    <dxf>
      <font>
        <color rgb="FF0F6B33"/>
      </font>
      <fill>
        <patternFill patternType="solid">
          <fgColor indexed="64"/>
          <bgColor rgb="FFE9F7EE"/>
        </patternFill>
      </fill>
    </dxf>
    <dxf>
      <font>
        <b/>
        <i val="0"/>
        <color rgb="FFB3261E"/>
      </font>
      <fill>
        <patternFill patternType="solid">
          <fgColor indexed="64"/>
          <bgColor rgb="FFFDE7E9"/>
        </patternFill>
      </fill>
    </dxf>
    <dxf>
      <font>
        <color rgb="FF0F6B33"/>
      </font>
      <fill>
        <patternFill patternType="solid">
          <fgColor indexed="64"/>
          <bgColor rgb="FFE9F7EE"/>
        </patternFill>
      </fill>
    </dxf>
    <dxf>
      <font>
        <b/>
        <i val="0"/>
        <color rgb="FFB3261E"/>
      </font>
      <fill>
        <patternFill patternType="solid">
          <fgColor indexed="64"/>
          <bgColor rgb="FFFDE7E9"/>
        </patternFill>
      </fill>
    </dxf>
    <dxf>
      <font>
        <b/>
        <i val="0"/>
        <color rgb="FFFFFFFF"/>
      </font>
      <fill>
        <patternFill patternType="solid">
          <fgColor indexed="64"/>
          <bgColor rgb="FFF5A623"/>
        </patternFill>
      </fill>
    </dxf>
    <dxf>
      <font>
        <b/>
        <i val="0"/>
        <color rgb="FFFFFFFF"/>
      </font>
      <fill>
        <patternFill patternType="solid">
          <fgColor indexed="64"/>
          <bgColor rgb="FFF5A623"/>
        </patternFill>
      </fill>
    </dxf>
    <dxf>
      <font>
        <color rgb="FF0F6B33"/>
      </font>
      <fill>
        <patternFill patternType="solid">
          <fgColor indexed="64"/>
          <bgColor rgb="FFE9F7EE"/>
        </patternFill>
      </fill>
    </dxf>
    <dxf>
      <font>
        <b/>
        <i val="0"/>
        <color rgb="FFB3261E"/>
      </font>
      <fill>
        <patternFill patternType="solid">
          <fgColor indexed="64"/>
          <bgColor rgb="FFFDE7E9"/>
        </patternFill>
      </fill>
    </dxf>
    <dxf>
      <font>
        <color rgb="FF0F6B33"/>
      </font>
      <fill>
        <patternFill patternType="solid">
          <fgColor indexed="64"/>
          <bgColor rgb="FFE9F7EE"/>
        </patternFill>
      </fill>
    </dxf>
    <dxf>
      <font>
        <b/>
        <i val="0"/>
        <color rgb="FFB3261E"/>
      </font>
      <fill>
        <patternFill patternType="solid">
          <fgColor indexed="64"/>
          <bgColor rgb="FFFDE7E9"/>
        </patternFill>
      </fill>
    </dxf>
    <dxf>
      <font>
        <b/>
        <i val="0"/>
        <color rgb="FFFFFFFF"/>
      </font>
      <fill>
        <patternFill patternType="solid">
          <fgColor indexed="64"/>
          <bgColor rgb="FFE23B4E"/>
        </patternFill>
      </fill>
    </dxf>
    <dxf>
      <font>
        <b/>
        <i val="0"/>
        <color rgb="FFFFFFFF"/>
      </font>
      <fill>
        <patternFill patternType="solid">
          <fgColor indexed="64"/>
          <bgColor rgb="FFE23B4E"/>
        </patternFill>
      </fill>
    </dxf>
    <dxf>
      <font>
        <color rgb="FF0F6B33"/>
      </font>
      <fill>
        <patternFill patternType="solid">
          <fgColor indexed="64"/>
          <bgColor rgb="FFE9F7EE"/>
        </patternFill>
      </fill>
    </dxf>
    <dxf>
      <font>
        <b/>
        <i val="0"/>
        <color rgb="FFB3261E"/>
      </font>
      <fill>
        <patternFill patternType="solid">
          <fgColor indexed="64"/>
          <bgColor rgb="FFFDE7E9"/>
        </patternFill>
      </fill>
    </dxf>
    <dxf>
      <font>
        <b/>
        <i val="0"/>
        <color rgb="FFFFFFFF"/>
      </font>
      <fill>
        <patternFill patternType="solid">
          <fgColor indexed="64"/>
          <bgColor rgb="FFE23B4E"/>
        </patternFill>
      </fill>
    </dxf>
    <dxf>
      <font>
        <b/>
        <i val="0"/>
        <color rgb="FFFFFFFF"/>
      </font>
      <fill>
        <patternFill patternType="solid">
          <fgColor indexed="64"/>
          <bgColor rgb="FFE23B4E"/>
        </patternFill>
      </fill>
    </dxf>
    <dxf>
      <font>
        <color rgb="FF0F6B33"/>
      </font>
      <fill>
        <patternFill patternType="solid">
          <fgColor indexed="64"/>
          <bgColor rgb="FFE9F7EE"/>
        </patternFill>
      </fill>
    </dxf>
    <dxf>
      <font>
        <b/>
        <i val="0"/>
        <color rgb="FFB3261E"/>
      </font>
      <fill>
        <patternFill patternType="solid">
          <fgColor indexed="64"/>
          <bgColor rgb="FFFDE7E9"/>
        </patternFill>
      </fill>
    </dxf>
    <dxf>
      <font>
        <b/>
        <i val="0"/>
        <color rgb="FFFFFFFF"/>
      </font>
      <fill>
        <patternFill patternType="solid">
          <fgColor indexed="64"/>
          <bgColor rgb="FFE23B4E"/>
        </patternFill>
      </fill>
    </dxf>
    <dxf>
      <font>
        <b/>
        <i val="0"/>
        <color rgb="FFFFFFFF"/>
      </font>
      <fill>
        <patternFill patternType="solid">
          <fgColor indexed="64"/>
          <bgColor rgb="FFE23B4E"/>
        </patternFill>
      </fill>
    </dxf>
    <dxf>
      <font>
        <color rgb="FF0F6B33"/>
      </font>
      <fill>
        <patternFill patternType="solid">
          <fgColor indexed="64"/>
          <bgColor rgb="FFE9F7EE"/>
        </patternFill>
      </fill>
    </dxf>
    <dxf>
      <font>
        <b/>
        <i val="0"/>
        <color rgb="FFB3261E"/>
      </font>
      <fill>
        <patternFill patternType="solid">
          <fgColor indexed="64"/>
          <bgColor rgb="FFFDE7E9"/>
        </patternFill>
      </fill>
    </dxf>
    <dxf>
      <font>
        <color rgb="FF0F6B33"/>
      </font>
      <fill>
        <patternFill patternType="solid">
          <fgColor indexed="64"/>
          <bgColor rgb="FFE9F7EE"/>
        </patternFill>
      </fill>
    </dxf>
    <dxf>
      <font>
        <b/>
        <i val="0"/>
        <color rgb="FFB3261E"/>
      </font>
      <fill>
        <patternFill patternType="solid">
          <fgColor indexed="64"/>
          <bgColor rgb="FFFDE7E9"/>
        </patternFill>
      </fill>
    </dxf>
    <dxf>
      <font>
        <color rgb="FF0F6B33"/>
      </font>
      <fill>
        <patternFill patternType="solid">
          <fgColor indexed="64"/>
          <bgColor rgb="FFE9F7EE"/>
        </patternFill>
      </fill>
    </dxf>
    <dxf>
      <font>
        <b/>
        <i val="0"/>
        <color rgb="FFB3261E"/>
      </font>
      <fill>
        <patternFill patternType="solid">
          <fgColor indexed="64"/>
          <bgColor rgb="FFFDE7E9"/>
        </patternFill>
      </fill>
    </dxf>
    <dxf>
      <font>
        <color rgb="FF0F6B33"/>
      </font>
      <fill>
        <patternFill patternType="solid">
          <fgColor indexed="64"/>
          <bgColor rgb="FFE9F7EE"/>
        </patternFill>
      </fill>
    </dxf>
    <dxf>
      <font>
        <b/>
        <i val="0"/>
        <color rgb="FFB3261E"/>
      </font>
      <fill>
        <patternFill patternType="solid">
          <fgColor indexed="64"/>
          <bgColor rgb="FFFDE7E9"/>
        </patternFill>
      </fill>
    </dxf>
    <dxf>
      <font>
        <color rgb="FF0F6B33"/>
      </font>
      <fill>
        <patternFill patternType="solid">
          <fgColor indexed="64"/>
          <bgColor rgb="FFE9F7EE"/>
        </patternFill>
      </fill>
    </dxf>
    <dxf>
      <font>
        <b/>
        <i val="0"/>
        <color rgb="FFB3261E"/>
      </font>
      <fill>
        <patternFill patternType="solid">
          <fgColor indexed="64"/>
          <bgColor rgb="FFFDE7E9"/>
        </patternFill>
      </fill>
    </dxf>
    <dxf>
      <font>
        <color rgb="FF0F6B33"/>
      </font>
      <fill>
        <patternFill patternType="solid">
          <fgColor indexed="64"/>
          <bgColor rgb="FFE9F7EE"/>
        </patternFill>
      </fill>
    </dxf>
    <dxf>
      <font>
        <b/>
        <i val="0"/>
        <color rgb="FFB3261E"/>
      </font>
      <fill>
        <patternFill patternType="solid">
          <fgColor indexed="64"/>
          <bgColor rgb="FFFDE7E9"/>
        </patternFill>
      </fill>
    </dxf>
    <dxf>
      <font>
        <color rgb="FF0F6B33"/>
      </font>
      <fill>
        <patternFill patternType="solid">
          <fgColor indexed="64"/>
          <bgColor rgb="FFE9F7EE"/>
        </patternFill>
      </fill>
    </dxf>
    <dxf>
      <font>
        <b/>
        <i val="0"/>
        <color rgb="FFB3261E"/>
      </font>
      <fill>
        <patternFill patternType="solid">
          <fgColor indexed="64"/>
          <bgColor rgb="FFFDE7E9"/>
        </patternFill>
      </fill>
    </dxf>
    <dxf>
      <font>
        <b/>
        <i val="0"/>
        <color rgb="FFFFFFFF"/>
      </font>
      <fill>
        <patternFill patternType="solid">
          <fgColor indexed="64"/>
          <bgColor rgb="FFF5A623"/>
        </patternFill>
      </fill>
    </dxf>
    <dxf>
      <font>
        <b/>
        <i val="0"/>
        <color rgb="FFFFFFFF"/>
      </font>
      <fill>
        <patternFill patternType="solid">
          <fgColor indexed="64"/>
          <bgColor rgb="FFF5A623"/>
        </patternFill>
      </fill>
    </dxf>
    <dxf>
      <font>
        <color rgb="FF0F6B33"/>
      </font>
      <fill>
        <patternFill patternType="solid">
          <fgColor indexed="64"/>
          <bgColor rgb="FFE9F7EE"/>
        </patternFill>
      </fill>
    </dxf>
    <dxf>
      <font>
        <b/>
        <i val="0"/>
        <color rgb="FFB3261E"/>
      </font>
      <fill>
        <patternFill patternType="solid">
          <fgColor indexed="64"/>
          <bgColor rgb="FFFDE7E9"/>
        </patternFill>
      </fill>
    </dxf>
    <dxf>
      <font>
        <color rgb="FF0F6B33"/>
      </font>
      <fill>
        <patternFill patternType="solid">
          <fgColor indexed="64"/>
          <bgColor rgb="FFE9F7EE"/>
        </patternFill>
      </fill>
    </dxf>
    <dxf>
      <font>
        <b/>
        <i val="0"/>
        <color rgb="FFB3261E"/>
      </font>
      <fill>
        <patternFill patternType="solid">
          <fgColor indexed="64"/>
          <bgColor rgb="FFFDE7E9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1A4F9C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LINKS — zonder zool vs. met zool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1A4F9C"/>
              </a:solidFill>
              <a:latin typeface="Aptos Narrow"/>
              <a:ea typeface="Aptos Narrow"/>
              <a:cs typeface="Aptos Narrow"/>
            </a:defRPr>
          </a:pPr>
          <a:endParaRPr lang="nl-B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Visit!$W$7</c:f>
              <c:strCache>
                <c:ptCount val="1"/>
                <c:pt idx="0">
                  <c:v>Zonder zool</c:v>
                </c:pt>
              </c:strCache>
            </c:strRef>
          </c:tx>
          <c:spPr>
            <a:solidFill>
              <a:srgbClr val="6E7072"/>
            </a:solidFill>
            <a:ln>
              <a:noFill/>
            </a:ln>
            <a:effectLst/>
          </c:spPr>
          <c:invertIfNegative val="0"/>
          <c:cat>
            <c:strRef>
              <c:f>Visit!$V$8:$V$13</c:f>
              <c:strCache>
                <c:ptCount val="6"/>
                <c:pt idx="0">
                  <c:v>G_Left Hallux</c:v>
                </c:pt>
                <c:pt idx="1">
                  <c:v>H_Left Metatarsal 1</c:v>
                </c:pt>
                <c:pt idx="2">
                  <c:v>I_Left Meta 2-3</c:v>
                </c:pt>
                <c:pt idx="3">
                  <c:v>J_Left Meta 4-5</c:v>
                </c:pt>
                <c:pt idx="4">
                  <c:v>K_Left_Midfoot</c:v>
                </c:pt>
                <c:pt idx="5">
                  <c:v>L_Left Heel</c:v>
                </c:pt>
              </c:strCache>
            </c:strRef>
          </c:cat>
          <c:val>
            <c:numRef>
              <c:f>Visit!$W$8:$W$13</c:f>
              <c:numCache>
                <c:formatCode>General</c:formatCode>
                <c:ptCount val="6"/>
                <c:pt idx="0">
                  <c:v>415.3</c:v>
                </c:pt>
                <c:pt idx="1">
                  <c:v>415.3</c:v>
                </c:pt>
                <c:pt idx="2">
                  <c:v>247.6</c:v>
                </c:pt>
                <c:pt idx="3">
                  <c:v>175.5</c:v>
                </c:pt>
                <c:pt idx="4">
                  <c:v>168.6</c:v>
                </c:pt>
                <c:pt idx="5">
                  <c:v>265.89999999999998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CC-4C1E-852F-1F7930ECB44B}"/>
            </c:ext>
          </c:extLst>
        </c:ser>
        <c:ser>
          <c:idx val="1"/>
          <c:order val="1"/>
          <c:tx>
            <c:strRef>
              <c:f>Visit!$X$7</c:f>
              <c:strCache>
                <c:ptCount val="1"/>
                <c:pt idx="0">
                  <c:v>Met zool - sessie 1</c:v>
                </c:pt>
              </c:strCache>
            </c:strRef>
          </c:tx>
          <c:spPr>
            <a:solidFill>
              <a:srgbClr val="29A8DF"/>
            </a:solidFill>
            <a:ln>
              <a:noFill/>
            </a:ln>
            <a:effectLst/>
          </c:spPr>
          <c:invertIfNegative val="0"/>
          <c:cat>
            <c:strRef>
              <c:f>Visit!$V$8:$V$13</c:f>
              <c:strCache>
                <c:ptCount val="6"/>
                <c:pt idx="0">
                  <c:v>G_Left Hallux</c:v>
                </c:pt>
                <c:pt idx="1">
                  <c:v>H_Left Metatarsal 1</c:v>
                </c:pt>
                <c:pt idx="2">
                  <c:v>I_Left Meta 2-3</c:v>
                </c:pt>
                <c:pt idx="3">
                  <c:v>J_Left Meta 4-5</c:v>
                </c:pt>
                <c:pt idx="4">
                  <c:v>K_Left_Midfoot</c:v>
                </c:pt>
                <c:pt idx="5">
                  <c:v>L_Left Heel</c:v>
                </c:pt>
              </c:strCache>
            </c:strRef>
          </c:cat>
          <c:val>
            <c:numRef>
              <c:f>Visit!$X$8:$X$13</c:f>
              <c:numCache>
                <c:formatCode>General</c:formatCode>
                <c:ptCount val="6"/>
                <c:pt idx="0">
                  <c:v>415.3</c:v>
                </c:pt>
                <c:pt idx="1">
                  <c:v>415.3</c:v>
                </c:pt>
                <c:pt idx="2">
                  <c:v>305.39999999999998</c:v>
                </c:pt>
                <c:pt idx="3">
                  <c:v>148.19999999999999</c:v>
                </c:pt>
                <c:pt idx="4">
                  <c:v>316.39999999999998</c:v>
                </c:pt>
                <c:pt idx="5">
                  <c:v>286.7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5CC-4C1E-852F-1F7930ECB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5627727"/>
        <c:axId val="571332335"/>
      </c:barChart>
      <c:lineChart>
        <c:grouping val="standard"/>
        <c:varyColors val="0"/>
        <c:ser>
          <c:idx val="2"/>
          <c:order val="2"/>
          <c:tx>
            <c:strRef>
              <c:f>Visit!$Y$7</c:f>
              <c:strCache>
                <c:ptCount val="1"/>
                <c:pt idx="0">
                  <c:v>Threshold 200 kPa</c:v>
                </c:pt>
              </c:strCache>
            </c:strRef>
          </c:tx>
          <c:spPr>
            <a:ln w="25400" cap="rnd">
              <a:solidFill>
                <a:srgbClr val="E23B4E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Visit!$V$8:$V$13</c:f>
              <c:strCache>
                <c:ptCount val="6"/>
                <c:pt idx="0">
                  <c:v>G_Left Hallux</c:v>
                </c:pt>
                <c:pt idx="1">
                  <c:v>H_Left Metatarsal 1</c:v>
                </c:pt>
                <c:pt idx="2">
                  <c:v>I_Left Meta 2-3</c:v>
                </c:pt>
                <c:pt idx="3">
                  <c:v>J_Left Meta 4-5</c:v>
                </c:pt>
                <c:pt idx="4">
                  <c:v>K_Left_Midfoot</c:v>
                </c:pt>
                <c:pt idx="5">
                  <c:v>L_Left Heel</c:v>
                </c:pt>
              </c:strCache>
            </c:strRef>
          </c:cat>
          <c:val>
            <c:numRef>
              <c:f>Visit!$Y$8:$Y$13</c:f>
              <c:numCache>
                <c:formatCode>General</c:formatCode>
                <c:ptCount val="6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5CC-4C1E-852F-1F7930ECB4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5627727"/>
        <c:axId val="571332335"/>
      </c:lineChart>
      <c:catAx>
        <c:axId val="79562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ptos Narrow"/>
                <a:cs typeface="Aptos Narrow"/>
              </a:defRPr>
            </a:pPr>
            <a:endParaRPr lang="nl-BE"/>
          </a:p>
        </c:txPr>
        <c:crossAx val="571332335"/>
        <c:crosses val="autoZero"/>
        <c:auto val="1"/>
        <c:lblAlgn val="ctr"/>
        <c:lblOffset val="100"/>
        <c:noMultiLvlLbl val="0"/>
      </c:catAx>
      <c:valAx>
        <c:axId val="57133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6E7072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nl-BE"/>
                  <a:t>Peak pressure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6E7072"/>
                  </a:solidFill>
                  <a:latin typeface="Aptos Narrow"/>
                  <a:ea typeface="Aptos Narrow"/>
                  <a:cs typeface="Aptos Narrow"/>
                </a:defRPr>
              </a:pPr>
              <a:endParaRPr lang="nl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ptos Narrow"/>
                <a:cs typeface="Aptos Narrow"/>
              </a:defRPr>
            </a:pPr>
            <a:endParaRPr lang="nl-BE"/>
          </a:p>
        </c:txPr>
        <c:crossAx val="79562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Aptos Narrow"/>
              <a:cs typeface="Aptos Narrow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1A4F9C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RECHTS — zonder zool vs. met zool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1A4F9C"/>
              </a:solidFill>
              <a:latin typeface="Aptos Narrow"/>
              <a:ea typeface="Aptos Narrow"/>
              <a:cs typeface="Aptos Narrow"/>
            </a:defRPr>
          </a:pPr>
          <a:endParaRPr lang="nl-B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Visit!$W$17</c:f>
              <c:strCache>
                <c:ptCount val="1"/>
                <c:pt idx="0">
                  <c:v>Zonder zool</c:v>
                </c:pt>
              </c:strCache>
            </c:strRef>
          </c:tx>
          <c:spPr>
            <a:solidFill>
              <a:srgbClr val="6E7072"/>
            </a:solidFill>
            <a:ln>
              <a:noFill/>
            </a:ln>
            <a:effectLst/>
          </c:spPr>
          <c:invertIfNegative val="0"/>
          <c:cat>
            <c:strRef>
              <c:f>Visit!$V$18:$V$23</c:f>
              <c:strCache>
                <c:ptCount val="6"/>
                <c:pt idx="0">
                  <c:v>A_Right Hallux</c:v>
                </c:pt>
                <c:pt idx="1">
                  <c:v>B_Right Metatarsal 1</c:v>
                </c:pt>
                <c:pt idx="2">
                  <c:v>C_Right  Meta 2-3</c:v>
                </c:pt>
                <c:pt idx="3">
                  <c:v>D_Right Meta 4-5</c:v>
                </c:pt>
                <c:pt idx="4">
                  <c:v>E_Right_Midfoot</c:v>
                </c:pt>
                <c:pt idx="5">
                  <c:v>F_Right Heel</c:v>
                </c:pt>
              </c:strCache>
            </c:strRef>
          </c:cat>
          <c:val>
            <c:numRef>
              <c:f>Visit!$W$18:$W$23</c:f>
              <c:numCache>
                <c:formatCode>General</c:formatCode>
                <c:ptCount val="6"/>
                <c:pt idx="0">
                  <c:v>339.3</c:v>
                </c:pt>
                <c:pt idx="1">
                  <c:v>242.5</c:v>
                </c:pt>
                <c:pt idx="2">
                  <c:v>195.6</c:v>
                </c:pt>
                <c:pt idx="3">
                  <c:v>162.30000000000001</c:v>
                </c:pt>
                <c:pt idx="4">
                  <c:v>301.39999999999998</c:v>
                </c:pt>
                <c:pt idx="5">
                  <c:v>322.3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D-4B56-ADC3-03F36CCB9E22}"/>
            </c:ext>
          </c:extLst>
        </c:ser>
        <c:ser>
          <c:idx val="1"/>
          <c:order val="1"/>
          <c:tx>
            <c:strRef>
              <c:f>Visit!$X$17</c:f>
              <c:strCache>
                <c:ptCount val="1"/>
                <c:pt idx="0">
                  <c:v>Met zool - sessie 1</c:v>
                </c:pt>
              </c:strCache>
            </c:strRef>
          </c:tx>
          <c:spPr>
            <a:solidFill>
              <a:srgbClr val="29A8DF"/>
            </a:solidFill>
            <a:ln>
              <a:noFill/>
            </a:ln>
            <a:effectLst/>
          </c:spPr>
          <c:invertIfNegative val="0"/>
          <c:cat>
            <c:strRef>
              <c:f>Visit!$V$18:$V$23</c:f>
              <c:strCache>
                <c:ptCount val="6"/>
                <c:pt idx="0">
                  <c:v>A_Right Hallux</c:v>
                </c:pt>
                <c:pt idx="1">
                  <c:v>B_Right Metatarsal 1</c:v>
                </c:pt>
                <c:pt idx="2">
                  <c:v>C_Right  Meta 2-3</c:v>
                </c:pt>
                <c:pt idx="3">
                  <c:v>D_Right Meta 4-5</c:v>
                </c:pt>
                <c:pt idx="4">
                  <c:v>E_Right_Midfoot</c:v>
                </c:pt>
                <c:pt idx="5">
                  <c:v>F_Right Heel</c:v>
                </c:pt>
              </c:strCache>
            </c:strRef>
          </c:cat>
          <c:val>
            <c:numRef>
              <c:f>Visit!$X$18:$X$23</c:f>
              <c:numCache>
                <c:formatCode>General</c:formatCode>
                <c:ptCount val="6"/>
                <c:pt idx="0">
                  <c:v>339.3</c:v>
                </c:pt>
                <c:pt idx="1">
                  <c:v>288.7</c:v>
                </c:pt>
                <c:pt idx="2">
                  <c:v>157.69999999999999</c:v>
                </c:pt>
                <c:pt idx="3">
                  <c:v>118.8</c:v>
                </c:pt>
                <c:pt idx="4">
                  <c:v>339.3</c:v>
                </c:pt>
                <c:pt idx="5">
                  <c:v>336.6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FD-4B56-ADC3-03F36CCB9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5637471"/>
        <c:axId val="571248815"/>
      </c:barChart>
      <c:lineChart>
        <c:grouping val="standard"/>
        <c:varyColors val="0"/>
        <c:ser>
          <c:idx val="2"/>
          <c:order val="2"/>
          <c:tx>
            <c:strRef>
              <c:f>Visit!$Y$17</c:f>
              <c:strCache>
                <c:ptCount val="1"/>
                <c:pt idx="0">
                  <c:v>Threshold 200 kPa</c:v>
                </c:pt>
              </c:strCache>
            </c:strRef>
          </c:tx>
          <c:spPr>
            <a:ln w="25400" cap="rnd">
              <a:solidFill>
                <a:srgbClr val="E23B4E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Visit!$V$18:$V$23</c:f>
              <c:strCache>
                <c:ptCount val="6"/>
                <c:pt idx="0">
                  <c:v>A_Right Hallux</c:v>
                </c:pt>
                <c:pt idx="1">
                  <c:v>B_Right Metatarsal 1</c:v>
                </c:pt>
                <c:pt idx="2">
                  <c:v>C_Right  Meta 2-3</c:v>
                </c:pt>
                <c:pt idx="3">
                  <c:v>D_Right Meta 4-5</c:v>
                </c:pt>
                <c:pt idx="4">
                  <c:v>E_Right_Midfoot</c:v>
                </c:pt>
                <c:pt idx="5">
                  <c:v>F_Right Heel</c:v>
                </c:pt>
              </c:strCache>
            </c:strRef>
          </c:cat>
          <c:val>
            <c:numRef>
              <c:f>Visit!$Y$18:$Y$23</c:f>
              <c:numCache>
                <c:formatCode>General</c:formatCode>
                <c:ptCount val="6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5FD-4B56-ADC3-03F36CCB9E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5637471"/>
        <c:axId val="571248815"/>
      </c:lineChart>
      <c:catAx>
        <c:axId val="79563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ptos Narrow"/>
                <a:cs typeface="Aptos Narrow"/>
              </a:defRPr>
            </a:pPr>
            <a:endParaRPr lang="nl-BE"/>
          </a:p>
        </c:txPr>
        <c:crossAx val="571248815"/>
        <c:crosses val="autoZero"/>
        <c:auto val="1"/>
        <c:lblAlgn val="ctr"/>
        <c:lblOffset val="100"/>
        <c:noMultiLvlLbl val="0"/>
      </c:catAx>
      <c:valAx>
        <c:axId val="57124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6E7072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nl-BE"/>
                  <a:t>Peak pressure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6E7072"/>
                  </a:solidFill>
                  <a:latin typeface="Aptos Narrow"/>
                  <a:ea typeface="Aptos Narrow"/>
                  <a:cs typeface="Aptos Narrow"/>
                </a:defRPr>
              </a:pPr>
              <a:endParaRPr lang="nl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ptos Narrow"/>
                <a:cs typeface="Aptos Narrow"/>
              </a:defRPr>
            </a:pPr>
            <a:endParaRPr lang="nl-BE"/>
          </a:p>
        </c:txPr>
        <c:crossAx val="79563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Aptos Narrow"/>
              <a:cs typeface="Aptos Narrow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1A4F9C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LINKS — zonder zool vs. met zool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1A4F9C"/>
              </a:solidFill>
              <a:latin typeface="Aptos Narrow"/>
              <a:ea typeface="Aptos Narrow"/>
              <a:cs typeface="Aptos Narrow"/>
            </a:defRPr>
          </a:pPr>
          <a:endParaRPr lang="nl-B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'TEMPLATE (blank)'!$W$7</c:f>
              <c:strCache>
                <c:ptCount val="1"/>
                <c:pt idx="0">
                  <c:v>Zonder zool</c:v>
                </c:pt>
              </c:strCache>
            </c:strRef>
          </c:tx>
          <c:spPr>
            <a:solidFill>
              <a:srgbClr val="6E7072"/>
            </a:solidFill>
            <a:ln>
              <a:noFill/>
            </a:ln>
            <a:effectLst/>
          </c:spPr>
          <c:invertIfNegative val="0"/>
          <c:cat>
            <c:strRef>
              <c:f>'TEMPLATE (blank)'!$V$8:$V$13</c:f>
              <c:strCache>
                <c:ptCount val="6"/>
                <c:pt idx="0">
                  <c:v>G_Left Hallux</c:v>
                </c:pt>
                <c:pt idx="1">
                  <c:v>H_Left Metatarsal 1</c:v>
                </c:pt>
                <c:pt idx="2">
                  <c:v>I_Left Meta 2-3</c:v>
                </c:pt>
                <c:pt idx="3">
                  <c:v>J_Left Meta 4-5</c:v>
                </c:pt>
                <c:pt idx="4">
                  <c:v>K_Left_Midfoot</c:v>
                </c:pt>
                <c:pt idx="5">
                  <c:v>L_Left Heel</c:v>
                </c:pt>
              </c:strCache>
            </c:strRef>
          </c:cat>
          <c:val>
            <c:numRef>
              <c:f>'TEMPLATE (blank)'!$W$8:$W$13</c:f>
              <c:numCache>
                <c:formatCode>General</c:formatCode>
                <c:ptCount val="6"/>
                <c:pt idx="0">
                  <c:v>380</c:v>
                </c:pt>
                <c:pt idx="1">
                  <c:v>450</c:v>
                </c:pt>
                <c:pt idx="2">
                  <c:v>270</c:v>
                </c:pt>
                <c:pt idx="3">
                  <c:v>180</c:v>
                </c:pt>
                <c:pt idx="4">
                  <c:v>256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27-4014-8EFA-B97B85E1F6A1}"/>
            </c:ext>
          </c:extLst>
        </c:ser>
        <c:ser>
          <c:idx val="1"/>
          <c:order val="1"/>
          <c:tx>
            <c:strRef>
              <c:f>'TEMPLATE (blank)'!$X$7</c:f>
              <c:strCache>
                <c:ptCount val="1"/>
                <c:pt idx="0">
                  <c:v>Met zool - sessie 1</c:v>
                </c:pt>
              </c:strCache>
            </c:strRef>
          </c:tx>
          <c:spPr>
            <a:solidFill>
              <a:srgbClr val="29A8DF"/>
            </a:solidFill>
            <a:ln>
              <a:noFill/>
            </a:ln>
            <a:effectLst/>
          </c:spPr>
          <c:invertIfNegative val="0"/>
          <c:cat>
            <c:strRef>
              <c:f>'TEMPLATE (blank)'!$V$8:$V$13</c:f>
              <c:strCache>
                <c:ptCount val="6"/>
                <c:pt idx="0">
                  <c:v>G_Left Hallux</c:v>
                </c:pt>
                <c:pt idx="1">
                  <c:v>H_Left Metatarsal 1</c:v>
                </c:pt>
                <c:pt idx="2">
                  <c:v>I_Left Meta 2-3</c:v>
                </c:pt>
                <c:pt idx="3">
                  <c:v>J_Left Meta 4-5</c:v>
                </c:pt>
                <c:pt idx="4">
                  <c:v>K_Left_Midfoot</c:v>
                </c:pt>
                <c:pt idx="5">
                  <c:v>L_Left Heel</c:v>
                </c:pt>
              </c:strCache>
            </c:strRef>
          </c:cat>
          <c:val>
            <c:numRef>
              <c:f>'TEMPLATE (blank)'!$X$8:$X$13</c:f>
              <c:numCache>
                <c:formatCode>General</c:formatCode>
                <c:ptCount val="6"/>
                <c:pt idx="0">
                  <c:v>170</c:v>
                </c:pt>
                <c:pt idx="1">
                  <c:v>163</c:v>
                </c:pt>
                <c:pt idx="2">
                  <c:v>280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627-4014-8EFA-B97B85E1F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5627727"/>
        <c:axId val="571332335"/>
      </c:barChart>
      <c:lineChart>
        <c:grouping val="standard"/>
        <c:varyColors val="0"/>
        <c:ser>
          <c:idx val="2"/>
          <c:order val="2"/>
          <c:tx>
            <c:strRef>
              <c:f>'TEMPLATE (blank)'!$Y$7</c:f>
              <c:strCache>
                <c:ptCount val="1"/>
                <c:pt idx="0">
                  <c:v>Threshold 200 kPa</c:v>
                </c:pt>
              </c:strCache>
            </c:strRef>
          </c:tx>
          <c:spPr>
            <a:ln w="25400" cap="rnd">
              <a:solidFill>
                <a:srgbClr val="E23B4E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'TEMPLATE (blank)'!$V$8:$V$13</c:f>
              <c:strCache>
                <c:ptCount val="6"/>
                <c:pt idx="0">
                  <c:v>G_Left Hallux</c:v>
                </c:pt>
                <c:pt idx="1">
                  <c:v>H_Left Metatarsal 1</c:v>
                </c:pt>
                <c:pt idx="2">
                  <c:v>I_Left Meta 2-3</c:v>
                </c:pt>
                <c:pt idx="3">
                  <c:v>J_Left Meta 4-5</c:v>
                </c:pt>
                <c:pt idx="4">
                  <c:v>K_Left_Midfoot</c:v>
                </c:pt>
                <c:pt idx="5">
                  <c:v>L_Left Heel</c:v>
                </c:pt>
              </c:strCache>
            </c:strRef>
          </c:cat>
          <c:val>
            <c:numRef>
              <c:f>'TEMPLATE (blank)'!$Y$8:$Y$13</c:f>
              <c:numCache>
                <c:formatCode>General</c:formatCode>
                <c:ptCount val="6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627-4014-8EFA-B97B85E1F6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5627727"/>
        <c:axId val="571332335"/>
      </c:lineChart>
      <c:catAx>
        <c:axId val="795627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ptos Narrow"/>
                <a:cs typeface="Aptos Narrow"/>
              </a:defRPr>
            </a:pPr>
            <a:endParaRPr lang="nl-BE"/>
          </a:p>
        </c:txPr>
        <c:crossAx val="571332335"/>
        <c:crosses val="autoZero"/>
        <c:auto val="1"/>
        <c:lblAlgn val="ctr"/>
        <c:lblOffset val="100"/>
        <c:noMultiLvlLbl val="0"/>
      </c:catAx>
      <c:valAx>
        <c:axId val="57133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6E7072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nl-BE"/>
                  <a:t>Peak pressure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6E7072"/>
                  </a:solidFill>
                  <a:latin typeface="Aptos Narrow"/>
                  <a:ea typeface="Aptos Narrow"/>
                  <a:cs typeface="Aptos Narrow"/>
                </a:defRPr>
              </a:pPr>
              <a:endParaRPr lang="nl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ptos Narrow"/>
                <a:cs typeface="Aptos Narrow"/>
              </a:defRPr>
            </a:pPr>
            <a:endParaRPr lang="nl-BE"/>
          </a:p>
        </c:txPr>
        <c:crossAx val="795627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Aptos Narrow"/>
              <a:cs typeface="Aptos Narrow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l-NL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300" b="1" i="0" u="none" strike="noStrike" kern="1200" spc="0" baseline="0">
                <a:solidFill>
                  <a:srgbClr val="1A4F9C"/>
                </a:solidFill>
                <a:latin typeface="Aptos Narrow"/>
                <a:ea typeface="Aptos Narrow"/>
                <a:cs typeface="Aptos Narrow"/>
              </a:defRPr>
            </a:pPr>
            <a:r>
              <a:rPr lang="en-US"/>
              <a:t>RECHTS — zonder zool vs. met zool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300" b="1" i="0" u="none" strike="noStrike" kern="1200" spc="0" baseline="0">
              <a:solidFill>
                <a:srgbClr val="1A4F9C"/>
              </a:solidFill>
              <a:latin typeface="Aptos Narrow"/>
              <a:ea typeface="Aptos Narrow"/>
              <a:cs typeface="Aptos Narrow"/>
            </a:defRPr>
          </a:pPr>
          <a:endParaRPr lang="nl-BE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'TEMPLATE (blank)'!$W$17</c:f>
              <c:strCache>
                <c:ptCount val="1"/>
                <c:pt idx="0">
                  <c:v>Zonder zool</c:v>
                </c:pt>
              </c:strCache>
            </c:strRef>
          </c:tx>
          <c:spPr>
            <a:solidFill>
              <a:srgbClr val="6E7072"/>
            </a:solidFill>
            <a:ln>
              <a:noFill/>
            </a:ln>
            <a:effectLst/>
          </c:spPr>
          <c:invertIfNegative val="0"/>
          <c:cat>
            <c:strRef>
              <c:f>'TEMPLATE (blank)'!$V$18:$V$23</c:f>
              <c:strCache>
                <c:ptCount val="6"/>
                <c:pt idx="0">
                  <c:v>A_Right Hallux</c:v>
                </c:pt>
                <c:pt idx="1">
                  <c:v>B_Right Metatarsal 1</c:v>
                </c:pt>
                <c:pt idx="2">
                  <c:v>C_Right  Meta 2-3</c:v>
                </c:pt>
                <c:pt idx="3">
                  <c:v>D_Right Meta 4-5</c:v>
                </c:pt>
                <c:pt idx="4">
                  <c:v>E_Right_Midfoot</c:v>
                </c:pt>
                <c:pt idx="5">
                  <c:v>F_Right Heel</c:v>
                </c:pt>
              </c:strCache>
            </c:strRef>
          </c:cat>
          <c:val>
            <c:numRef>
              <c:f>'TEMPLATE (blank)'!$W$18:$W$23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90E-4EB5-BEFE-C7AAD3D1CC0C}"/>
            </c:ext>
          </c:extLst>
        </c:ser>
        <c:ser>
          <c:idx val="1"/>
          <c:order val="1"/>
          <c:tx>
            <c:strRef>
              <c:f>'TEMPLATE (blank)'!$X$17</c:f>
              <c:strCache>
                <c:ptCount val="1"/>
                <c:pt idx="0">
                  <c:v>Met zool - sessie 1</c:v>
                </c:pt>
              </c:strCache>
            </c:strRef>
          </c:tx>
          <c:spPr>
            <a:solidFill>
              <a:srgbClr val="29A8DF"/>
            </a:solidFill>
            <a:ln>
              <a:noFill/>
            </a:ln>
            <a:effectLst/>
          </c:spPr>
          <c:invertIfNegative val="0"/>
          <c:cat>
            <c:strRef>
              <c:f>'TEMPLATE (blank)'!$V$18:$V$23</c:f>
              <c:strCache>
                <c:ptCount val="6"/>
                <c:pt idx="0">
                  <c:v>A_Right Hallux</c:v>
                </c:pt>
                <c:pt idx="1">
                  <c:v>B_Right Metatarsal 1</c:v>
                </c:pt>
                <c:pt idx="2">
                  <c:v>C_Right  Meta 2-3</c:v>
                </c:pt>
                <c:pt idx="3">
                  <c:v>D_Right Meta 4-5</c:v>
                </c:pt>
                <c:pt idx="4">
                  <c:v>E_Right_Midfoot</c:v>
                </c:pt>
                <c:pt idx="5">
                  <c:v>F_Right Heel</c:v>
                </c:pt>
              </c:strCache>
            </c:strRef>
          </c:cat>
          <c:val>
            <c:numRef>
              <c:f>'TEMPLATE (blank)'!$X$18:$X$23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90E-4EB5-BEFE-C7AAD3D1C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795637471"/>
        <c:axId val="571248815"/>
      </c:barChart>
      <c:lineChart>
        <c:grouping val="standard"/>
        <c:varyColors val="0"/>
        <c:ser>
          <c:idx val="2"/>
          <c:order val="2"/>
          <c:tx>
            <c:strRef>
              <c:f>'TEMPLATE (blank)'!$Y$17</c:f>
              <c:strCache>
                <c:ptCount val="1"/>
                <c:pt idx="0">
                  <c:v>Threshold 200 kPa</c:v>
                </c:pt>
              </c:strCache>
            </c:strRef>
          </c:tx>
          <c:spPr>
            <a:ln w="25400" cap="rnd">
              <a:solidFill>
                <a:srgbClr val="E23B4E"/>
              </a:solidFill>
              <a:prstDash val="solid"/>
              <a:round/>
            </a:ln>
            <a:effectLst/>
          </c:spPr>
          <c:marker>
            <c:symbol val="none"/>
          </c:marker>
          <c:cat>
            <c:strRef>
              <c:f>'TEMPLATE (blank)'!$V$18:$V$23</c:f>
              <c:strCache>
                <c:ptCount val="6"/>
                <c:pt idx="0">
                  <c:v>A_Right Hallux</c:v>
                </c:pt>
                <c:pt idx="1">
                  <c:v>B_Right Metatarsal 1</c:v>
                </c:pt>
                <c:pt idx="2">
                  <c:v>C_Right  Meta 2-3</c:v>
                </c:pt>
                <c:pt idx="3">
                  <c:v>D_Right Meta 4-5</c:v>
                </c:pt>
                <c:pt idx="4">
                  <c:v>E_Right_Midfoot</c:v>
                </c:pt>
                <c:pt idx="5">
                  <c:v>F_Right Heel</c:v>
                </c:pt>
              </c:strCache>
            </c:strRef>
          </c:cat>
          <c:val>
            <c:numRef>
              <c:f>'TEMPLATE (blank)'!$Y$18:$Y$23</c:f>
              <c:numCache>
                <c:formatCode>General</c:formatCode>
                <c:ptCount val="6"/>
                <c:pt idx="0">
                  <c:v>200</c:v>
                </c:pt>
                <c:pt idx="1">
                  <c:v>200</c:v>
                </c:pt>
                <c:pt idx="2">
                  <c:v>200</c:v>
                </c:pt>
                <c:pt idx="3">
                  <c:v>200</c:v>
                </c:pt>
                <c:pt idx="4">
                  <c:v>200</c:v>
                </c:pt>
                <c:pt idx="5">
                  <c:v>200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90E-4EB5-BEFE-C7AAD3D1CC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95637471"/>
        <c:axId val="571248815"/>
      </c:lineChart>
      <c:catAx>
        <c:axId val="795637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ptos Narrow"/>
                <a:cs typeface="Aptos Narrow"/>
              </a:defRPr>
            </a:pPr>
            <a:endParaRPr lang="nl-BE"/>
          </a:p>
        </c:txPr>
        <c:crossAx val="571248815"/>
        <c:crosses val="autoZero"/>
        <c:auto val="1"/>
        <c:lblAlgn val="ctr"/>
        <c:lblOffset val="100"/>
        <c:noMultiLvlLbl val="0"/>
      </c:catAx>
      <c:valAx>
        <c:axId val="5712488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rgbClr val="6E7072"/>
                    </a:solidFill>
                    <a:latin typeface="Aptos Narrow"/>
                    <a:ea typeface="Aptos Narrow"/>
                    <a:cs typeface="Aptos Narrow"/>
                  </a:defRPr>
                </a:pPr>
                <a:r>
                  <a:rPr lang="nl-BE"/>
                  <a:t>Peak pressure (kPa)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rgbClr val="6E7072"/>
                  </a:solidFill>
                  <a:latin typeface="Aptos Narrow"/>
                  <a:ea typeface="Aptos Narrow"/>
                  <a:cs typeface="Aptos Narrow"/>
                </a:defRPr>
              </a:pPr>
              <a:endParaRPr lang="nl-BE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Aptos Narrow"/>
                <a:ea typeface="Aptos Narrow"/>
                <a:cs typeface="Aptos Narrow"/>
              </a:defRPr>
            </a:pPr>
            <a:endParaRPr lang="nl-BE"/>
          </a:p>
        </c:txPr>
        <c:crossAx val="7956374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Aptos Narrow"/>
              <a:ea typeface="Aptos Narrow"/>
              <a:cs typeface="Aptos Narrow"/>
            </a:defRPr>
          </a:pPr>
          <a:endParaRPr lang="nl-BE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nl-BE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chart" Target="../charts/chart2.xml"/><Relationship Id="rId4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tmp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chart" Target="../charts/chart4.xml"/><Relationship Id="rId4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20357</xdr:colOff>
      <xdr:row>10</xdr:row>
      <xdr:rowOff>32684</xdr:rowOff>
    </xdr:from>
    <xdr:to>
      <xdr:col>3</xdr:col>
      <xdr:colOff>600993</xdr:colOff>
      <xdr:row>15</xdr:row>
      <xdr:rowOff>155948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594E5B6-0C8C-3828-D168-AEF7FAEDF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11475" y="2206625"/>
          <a:ext cx="580636" cy="1524000"/>
        </a:xfrm>
        <a:prstGeom prst="rect">
          <a:avLst/>
        </a:prstGeom>
      </xdr:spPr>
    </xdr:pic>
    <xdr:clientData/>
  </xdr:twoCellAnchor>
  <xdr:twoCellAnchor editAs="oneCell">
    <xdr:from>
      <xdr:col>3</xdr:col>
      <xdr:colOff>20357</xdr:colOff>
      <xdr:row>24</xdr:row>
      <xdr:rowOff>13634</xdr:rowOff>
    </xdr:from>
    <xdr:to>
      <xdr:col>3</xdr:col>
      <xdr:colOff>551822</xdr:colOff>
      <xdr:row>29</xdr:row>
      <xdr:rowOff>136899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97C91C6-E646-00BE-042B-70C3E596A5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11475" y="5807075"/>
          <a:ext cx="531465" cy="152400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1</xdr:row>
      <xdr:rowOff>23159</xdr:rowOff>
    </xdr:from>
    <xdr:to>
      <xdr:col>2</xdr:col>
      <xdr:colOff>193638</xdr:colOff>
      <xdr:row>2</xdr:row>
      <xdr:rowOff>156135</xdr:rowOff>
    </xdr:to>
    <xdr:pic>
      <xdr:nvPicPr>
        <xdr:cNvPr id="2" name="ParadiseLogo">
          <a:extLst>
            <a:ext uri="{FF2B5EF4-FFF2-40B4-BE49-F238E27FC236}">
              <a16:creationId xmlns:a16="http://schemas.microsoft.com/office/drawing/2014/main" id="{DD170DDA-FDB0-9402-8ABC-C9090C5AA145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500" y="101600"/>
          <a:ext cx="1430020" cy="558800"/>
        </a:xfrm>
        <a:prstGeom prst="rect">
          <a:avLst/>
        </a:prstGeom>
      </xdr:spPr>
    </xdr:pic>
    <xdr:clientData/>
  </xdr:twoCellAnchor>
  <xdr:twoCellAnchor>
    <xdr:from>
      <xdr:col>25</xdr:col>
      <xdr:colOff>590549</xdr:colOff>
      <xdr:row>4</xdr:row>
      <xdr:rowOff>190499</xdr:rowOff>
    </xdr:from>
    <xdr:to>
      <xdr:col>35</xdr:col>
      <xdr:colOff>590549</xdr:colOff>
      <xdr:row>20</xdr:row>
      <xdr:rowOff>190499</xdr:rowOff>
    </xdr:to>
    <xdr:graphicFrame macro="">
      <xdr:nvGraphicFramePr>
        <xdr:cNvPr id="3" name="Grafiek 2">
          <a:extLst>
            <a:ext uri="{FF2B5EF4-FFF2-40B4-BE49-F238E27FC236}">
              <a16:creationId xmlns:a16="http://schemas.microsoft.com/office/drawing/2014/main" id="{AABDB218-2413-D3BC-164B-5D592168A3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590549</xdr:colOff>
      <xdr:row>21</xdr:row>
      <xdr:rowOff>180974</xdr:rowOff>
    </xdr:from>
    <xdr:to>
      <xdr:col>35</xdr:col>
      <xdr:colOff>590549</xdr:colOff>
      <xdr:row>37</xdr:row>
      <xdr:rowOff>190499</xdr:rowOff>
    </xdr:to>
    <xdr:graphicFrame macro="">
      <xdr:nvGraphicFramePr>
        <xdr:cNvPr id="4" name="Grafiek 3">
          <a:extLst>
            <a:ext uri="{FF2B5EF4-FFF2-40B4-BE49-F238E27FC236}">
              <a16:creationId xmlns:a16="http://schemas.microsoft.com/office/drawing/2014/main" id="{3CED6C60-6D40-EC39-A287-2BC1220573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20357</xdr:colOff>
      <xdr:row>10</xdr:row>
      <xdr:rowOff>32684</xdr:rowOff>
    </xdr:from>
    <xdr:to>
      <xdr:col>3</xdr:col>
      <xdr:colOff>607343</xdr:colOff>
      <xdr:row>15</xdr:row>
      <xdr:rowOff>155949</xdr:rowOff>
    </xdr:to>
    <xdr:pic>
      <xdr:nvPicPr>
        <xdr:cNvPr id="2" name="Picture 4">
          <a:extLst>
            <a:ext uri="{FF2B5EF4-FFF2-40B4-BE49-F238E27FC236}">
              <a16:creationId xmlns:a16="http://schemas.microsoft.com/office/drawing/2014/main" id="{959381F4-2F9F-4164-9C68-3ABEFDD9C0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906432" y="2271059"/>
          <a:ext cx="580636" cy="1504390"/>
        </a:xfrm>
        <a:prstGeom prst="rect">
          <a:avLst/>
        </a:prstGeom>
      </xdr:spPr>
    </xdr:pic>
    <xdr:clientData/>
  </xdr:twoCellAnchor>
  <xdr:twoCellAnchor editAs="oneCell">
    <xdr:from>
      <xdr:col>3</xdr:col>
      <xdr:colOff>20357</xdr:colOff>
      <xdr:row>24</xdr:row>
      <xdr:rowOff>13634</xdr:rowOff>
    </xdr:from>
    <xdr:to>
      <xdr:col>3</xdr:col>
      <xdr:colOff>551822</xdr:colOff>
      <xdr:row>29</xdr:row>
      <xdr:rowOff>136900</xdr:rowOff>
    </xdr:to>
    <xdr:pic>
      <xdr:nvPicPr>
        <xdr:cNvPr id="3" name="Picture 8">
          <a:extLst>
            <a:ext uri="{FF2B5EF4-FFF2-40B4-BE49-F238E27FC236}">
              <a16:creationId xmlns:a16="http://schemas.microsoft.com/office/drawing/2014/main" id="{56AF3959-3C55-40A2-AB0E-03605BAECE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2906432" y="5909609"/>
          <a:ext cx="531465" cy="1504390"/>
        </a:xfrm>
        <a:prstGeom prst="rect">
          <a:avLst/>
        </a:prstGeom>
      </xdr:spPr>
    </xdr:pic>
    <xdr:clientData/>
  </xdr:twoCellAnchor>
  <xdr:twoCellAnchor editAs="oneCell">
    <xdr:from>
      <xdr:col>0</xdr:col>
      <xdr:colOff>63500</xdr:colOff>
      <xdr:row>1</xdr:row>
      <xdr:rowOff>23159</xdr:rowOff>
    </xdr:from>
    <xdr:to>
      <xdr:col>2</xdr:col>
      <xdr:colOff>193638</xdr:colOff>
      <xdr:row>2</xdr:row>
      <xdr:rowOff>156135</xdr:rowOff>
    </xdr:to>
    <xdr:pic>
      <xdr:nvPicPr>
        <xdr:cNvPr id="4" name="ParadiseLogo">
          <a:extLst>
            <a:ext uri="{FF2B5EF4-FFF2-40B4-BE49-F238E27FC236}">
              <a16:creationId xmlns:a16="http://schemas.microsoft.com/office/drawing/2014/main" id="{8BAD12FF-98F8-4027-92C3-52B64612C281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3500" y="99359"/>
          <a:ext cx="1425538" cy="561601"/>
        </a:xfrm>
        <a:prstGeom prst="rect">
          <a:avLst/>
        </a:prstGeom>
      </xdr:spPr>
    </xdr:pic>
    <xdr:clientData/>
  </xdr:twoCellAnchor>
  <xdr:twoCellAnchor>
    <xdr:from>
      <xdr:col>25</xdr:col>
      <xdr:colOff>590549</xdr:colOff>
      <xdr:row>4</xdr:row>
      <xdr:rowOff>190499</xdr:rowOff>
    </xdr:from>
    <xdr:to>
      <xdr:col>35</xdr:col>
      <xdr:colOff>590549</xdr:colOff>
      <xdr:row>20</xdr:row>
      <xdr:rowOff>190499</xdr:rowOff>
    </xdr:to>
    <xdr:graphicFrame macro="">
      <xdr:nvGraphicFramePr>
        <xdr:cNvPr id="5" name="Grafiek 4">
          <a:extLst>
            <a:ext uri="{FF2B5EF4-FFF2-40B4-BE49-F238E27FC236}">
              <a16:creationId xmlns:a16="http://schemas.microsoft.com/office/drawing/2014/main" id="{E0161371-5ACA-480E-8804-5C8D0C2B56C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25</xdr:col>
      <xdr:colOff>590549</xdr:colOff>
      <xdr:row>21</xdr:row>
      <xdr:rowOff>180974</xdr:rowOff>
    </xdr:from>
    <xdr:to>
      <xdr:col>35</xdr:col>
      <xdr:colOff>590549</xdr:colOff>
      <xdr:row>37</xdr:row>
      <xdr:rowOff>190499</xdr:rowOff>
    </xdr:to>
    <xdr:graphicFrame macro="">
      <xdr:nvGraphicFramePr>
        <xdr:cNvPr id="6" name="Grafiek 5">
          <a:extLst>
            <a:ext uri="{FF2B5EF4-FFF2-40B4-BE49-F238E27FC236}">
              <a16:creationId xmlns:a16="http://schemas.microsoft.com/office/drawing/2014/main" id="{6CF55FCE-A199-4366-93E8-B2BD48BC30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B418B1F3-7085-4BF9-B1F9-DEB68973A486}">
  <we:reference id="WA200009404" version="1.0.0.8" store="Omex" storeType="OMEX"/>
  <we:alternateReferences>
    <we:reference id="WA200009404" version="1.0.0.8" store="WA200009404" storeType="OMEX"/>
  </we:alternateReferences>
  <we:properties>
    <we:property name="claude.fileId" value="&quot;3f3ed16a-a604-4be4-beb9-42a8415e78c8&quot;"/>
  </we:properties>
  <we:bindings/>
  <we:snapshot xmlns:r="http://schemas.openxmlformats.org/officeDocument/2006/relationships"/>
</we:webextension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95213D-9ECD-435C-B0AC-E2163E82B419}">
  <dimension ref="A1:I91"/>
  <sheetViews>
    <sheetView tabSelected="1" workbookViewId="0">
      <selection activeCell="F14" sqref="F14"/>
    </sheetView>
  </sheetViews>
  <sheetFormatPr defaultRowHeight="15" x14ac:dyDescent="0.25"/>
  <cols>
    <col min="1" max="1" width="26.7109375" customWidth="1"/>
    <col min="2" max="2" width="22.7109375" customWidth="1"/>
    <col min="3" max="3" width="20.7109375" customWidth="1"/>
    <col min="4" max="4" width="17.7109375" customWidth="1"/>
    <col min="5" max="5" width="15.7109375" customWidth="1"/>
    <col min="6" max="6" width="12.7109375" customWidth="1"/>
    <col min="7" max="7" width="13.7109375" customWidth="1"/>
    <col min="8" max="9" width="18.7109375" customWidth="1"/>
  </cols>
  <sheetData>
    <row r="1" spans="1:8" ht="15.75" x14ac:dyDescent="0.25">
      <c r="A1" s="71" t="s">
        <v>25</v>
      </c>
    </row>
    <row r="2" spans="1:8" ht="18" x14ac:dyDescent="0.25">
      <c r="A2" s="72" t="s">
        <v>41</v>
      </c>
    </row>
    <row r="3" spans="1:8" x14ac:dyDescent="0.25">
      <c r="A3" s="73" t="s">
        <v>42</v>
      </c>
    </row>
    <row r="5" spans="1:8" x14ac:dyDescent="0.25">
      <c r="A5" s="74" t="s">
        <v>43</v>
      </c>
    </row>
    <row r="6" spans="1:8" x14ac:dyDescent="0.25">
      <c r="A6" s="76" t="s">
        <v>44</v>
      </c>
      <c r="B6" s="77"/>
      <c r="D6" s="76" t="s">
        <v>45</v>
      </c>
      <c r="E6" s="77"/>
      <c r="G6" s="76" t="s">
        <v>46</v>
      </c>
      <c r="H6" s="77"/>
    </row>
    <row r="7" spans="1:8" x14ac:dyDescent="0.25">
      <c r="A7" s="76" t="s">
        <v>47</v>
      </c>
      <c r="B7" s="77"/>
      <c r="D7" s="76" t="s">
        <v>48</v>
      </c>
      <c r="E7" s="77"/>
      <c r="G7" s="76" t="s">
        <v>49</v>
      </c>
      <c r="H7" s="77" t="s">
        <v>53</v>
      </c>
    </row>
    <row r="8" spans="1:8" x14ac:dyDescent="0.25">
      <c r="A8" s="76" t="s">
        <v>50</v>
      </c>
      <c r="B8" s="77"/>
      <c r="D8" s="76" t="s">
        <v>51</v>
      </c>
      <c r="E8" s="77"/>
      <c r="G8" s="76" t="s">
        <v>52</v>
      </c>
      <c r="H8" s="77" t="s">
        <v>54</v>
      </c>
    </row>
    <row r="9" spans="1:8" x14ac:dyDescent="0.25">
      <c r="A9" s="73" t="s">
        <v>55</v>
      </c>
    </row>
    <row r="10" spans="1:8" x14ac:dyDescent="0.25">
      <c r="A10" s="73" t="s">
        <v>56</v>
      </c>
    </row>
    <row r="12" spans="1:8" x14ac:dyDescent="0.25">
      <c r="A12" s="74" t="s">
        <v>57</v>
      </c>
    </row>
    <row r="13" spans="1:8" x14ac:dyDescent="0.25">
      <c r="A13" s="76" t="s">
        <v>58</v>
      </c>
      <c r="B13" s="76" t="s">
        <v>59</v>
      </c>
      <c r="D13" s="76" t="s">
        <v>60</v>
      </c>
      <c r="F13" s="76" t="s">
        <v>61</v>
      </c>
    </row>
    <row r="14" spans="1:8" x14ac:dyDescent="0.25">
      <c r="A14" s="76" t="s">
        <v>62</v>
      </c>
      <c r="B14" t="s">
        <v>63</v>
      </c>
      <c r="D14" s="77"/>
      <c r="F14" s="77"/>
    </row>
    <row r="15" spans="1:8" x14ac:dyDescent="0.25">
      <c r="A15" s="76" t="s">
        <v>64</v>
      </c>
      <c r="B15" t="s">
        <v>65</v>
      </c>
      <c r="D15" s="77"/>
      <c r="F15" s="77"/>
    </row>
    <row r="16" spans="1:8" x14ac:dyDescent="0.25">
      <c r="A16" s="73" t="s">
        <v>66</v>
      </c>
    </row>
    <row r="18" spans="1:9" x14ac:dyDescent="0.25">
      <c r="A18" s="74" t="s">
        <v>67</v>
      </c>
    </row>
    <row r="19" spans="1:9" x14ac:dyDescent="0.25">
      <c r="B19" s="78" t="s">
        <v>68</v>
      </c>
      <c r="E19" s="78" t="s">
        <v>69</v>
      </c>
    </row>
    <row r="20" spans="1:9" x14ac:dyDescent="0.25">
      <c r="A20" s="76" t="s">
        <v>70</v>
      </c>
      <c r="B20" s="79" t="s">
        <v>71</v>
      </c>
      <c r="C20" s="79" t="s">
        <v>72</v>
      </c>
      <c r="E20" s="79" t="s">
        <v>71</v>
      </c>
      <c r="F20" s="79" t="s">
        <v>72</v>
      </c>
    </row>
    <row r="21" spans="1:9" x14ac:dyDescent="0.25">
      <c r="A21" s="75" t="s">
        <v>73</v>
      </c>
      <c r="B21" s="77"/>
      <c r="C21" s="77"/>
      <c r="E21" s="77"/>
      <c r="F21" s="77"/>
    </row>
    <row r="22" spans="1:9" x14ac:dyDescent="0.25">
      <c r="A22" s="75" t="s">
        <v>74</v>
      </c>
      <c r="B22" s="77"/>
      <c r="C22" s="77"/>
      <c r="E22" s="77"/>
      <c r="F22" s="77"/>
    </row>
    <row r="23" spans="1:9" x14ac:dyDescent="0.25">
      <c r="A23" s="75" t="s">
        <v>75</v>
      </c>
      <c r="B23" s="77"/>
      <c r="C23" s="77"/>
      <c r="E23" s="77"/>
      <c r="F23" s="77"/>
    </row>
    <row r="24" spans="1:9" x14ac:dyDescent="0.25">
      <c r="A24" s="75" t="s">
        <v>76</v>
      </c>
      <c r="B24" s="77"/>
      <c r="C24" s="77"/>
      <c r="E24" s="77"/>
      <c r="F24" s="77"/>
    </row>
    <row r="26" spans="1:9" x14ac:dyDescent="0.25">
      <c r="A26" s="74" t="s">
        <v>125</v>
      </c>
    </row>
    <row r="27" spans="1:9" x14ac:dyDescent="0.25">
      <c r="A27" s="73" t="s">
        <v>126</v>
      </c>
    </row>
    <row r="28" spans="1:9" ht="39" x14ac:dyDescent="0.25">
      <c r="A28" s="104" t="s">
        <v>77</v>
      </c>
      <c r="B28" s="104" t="s">
        <v>78</v>
      </c>
      <c r="C28" s="105"/>
      <c r="D28" s="104" t="s">
        <v>122</v>
      </c>
      <c r="E28" s="104" t="s">
        <v>123</v>
      </c>
      <c r="F28" s="104" t="s">
        <v>79</v>
      </c>
      <c r="G28" s="104" t="s">
        <v>124</v>
      </c>
      <c r="H28" s="104" t="s">
        <v>80</v>
      </c>
      <c r="I28" s="105"/>
    </row>
    <row r="29" spans="1:9" x14ac:dyDescent="0.25">
      <c r="A29" s="75" t="s">
        <v>81</v>
      </c>
      <c r="B29" s="77"/>
      <c r="D29" s="77"/>
      <c r="E29" s="77"/>
      <c r="F29" s="77"/>
      <c r="G29" s="81" t="str">
        <f>IF(OR(D29="",F29=""),"",(D29-F29)/D29)</f>
        <v/>
      </c>
      <c r="H29" s="12" t="str">
        <f>IF(F29="","",IF(F29&lt;200,"JA",IF(D29="","referentie ontbreekt",IF((D29-F29)/D29&gt;=0.25,"JA","NEE"))))</f>
        <v/>
      </c>
    </row>
    <row r="30" spans="1:9" x14ac:dyDescent="0.25">
      <c r="A30" s="75" t="s">
        <v>82</v>
      </c>
      <c r="B30" s="77"/>
      <c r="D30" s="77"/>
      <c r="E30" s="77"/>
      <c r="F30" s="77"/>
      <c r="G30" s="81" t="str">
        <f>IF(OR(D30="",F30=""),"",(D30-F30)/D30)</f>
        <v/>
      </c>
      <c r="H30" s="12" t="str">
        <f>IF(F30="","",IF(F30&lt;200,"JA",IF(D30="","referentie ontbreekt",IF((D30-F30)/D30&gt;=0.25,"JA","NEE"))))</f>
        <v/>
      </c>
    </row>
    <row r="31" spans="1:9" x14ac:dyDescent="0.25">
      <c r="A31" s="75" t="s">
        <v>83</v>
      </c>
      <c r="B31" s="77"/>
      <c r="D31" s="77"/>
      <c r="E31" s="77"/>
      <c r="F31" s="77"/>
      <c r="G31" s="81" t="str">
        <f>IF(OR(D31="",F31=""),"",(D31-F31)/D31)</f>
        <v/>
      </c>
      <c r="H31" s="12" t="str">
        <f>IF(F31="","",IF(F31&lt;200,"JA",IF(D31="","referentie ontbreekt",IF((D31-F31)/D31&gt;=0.25,"JA","NEE"))))</f>
        <v/>
      </c>
    </row>
    <row r="32" spans="1:9" x14ac:dyDescent="0.25">
      <c r="A32" s="75" t="s">
        <v>84</v>
      </c>
      <c r="B32" s="77"/>
      <c r="D32" s="77"/>
      <c r="E32" s="77"/>
      <c r="F32" s="77"/>
      <c r="G32" s="81" t="str">
        <f>IF(OR(D32="",F32=""),"",(D32-F32)/D32)</f>
        <v/>
      </c>
      <c r="H32" s="12" t="str">
        <f>IF(F32="","",IF(F32&lt;200,"JA",IF(D32="","referentie ontbreekt",IF((D32-F32)/D32&gt;=0.25,"JA","NEE"))))</f>
        <v/>
      </c>
    </row>
    <row r="33" spans="1:9" x14ac:dyDescent="0.25">
      <c r="A33" s="75" t="s">
        <v>85</v>
      </c>
      <c r="B33" s="77"/>
      <c r="D33" s="77"/>
      <c r="E33" s="77"/>
      <c r="F33" s="77"/>
      <c r="G33" s="81" t="str">
        <f>IF(OR(D33="",F33=""),"",(D33-F33)/D33)</f>
        <v/>
      </c>
      <c r="H33" s="12" t="str">
        <f>IF(F33="","",IF(F33&lt;200,"JA",IF(D33="","referentie ontbreekt",IF((D33-F33)/D33&gt;=0.25,"JA","NEE"))))</f>
        <v/>
      </c>
    </row>
    <row r="34" spans="1:9" x14ac:dyDescent="0.25">
      <c r="A34" s="75" t="s">
        <v>86</v>
      </c>
      <c r="B34" s="77"/>
      <c r="D34" s="77"/>
      <c r="E34" s="77"/>
      <c r="F34" s="77"/>
      <c r="G34" s="81" t="str">
        <f>IF(OR(D34="",F34=""),"",(D34-F34)/D34)</f>
        <v/>
      </c>
      <c r="H34" s="12" t="str">
        <f>IF(F34="","",IF(F34&lt;200,"JA",IF(D34="","referentie ontbreekt",IF((D34-F34)/D34&gt;=0.25,"JA","NEE"))))</f>
        <v/>
      </c>
    </row>
    <row r="35" spans="1:9" ht="42" customHeight="1" x14ac:dyDescent="0.25">
      <c r="A35" s="106" t="s">
        <v>127</v>
      </c>
      <c r="B35" s="106"/>
      <c r="C35" s="106"/>
      <c r="D35" s="106"/>
      <c r="E35" s="106"/>
      <c r="F35" s="106"/>
      <c r="G35" s="106"/>
      <c r="H35" s="106"/>
      <c r="I35" s="106"/>
    </row>
    <row r="37" spans="1:9" x14ac:dyDescent="0.25">
      <c r="A37" s="74" t="s">
        <v>87</v>
      </c>
    </row>
    <row r="38" spans="1:9" x14ac:dyDescent="0.25">
      <c r="A38" s="73" t="s">
        <v>128</v>
      </c>
    </row>
    <row r="39" spans="1:9" x14ac:dyDescent="0.25">
      <c r="A39" s="73" t="s">
        <v>88</v>
      </c>
    </row>
    <row r="40" spans="1:9" ht="64.5" x14ac:dyDescent="0.25">
      <c r="A40" s="104" t="s">
        <v>77</v>
      </c>
      <c r="B40" s="104" t="s">
        <v>89</v>
      </c>
      <c r="C40" s="104" t="s">
        <v>90</v>
      </c>
      <c r="D40" s="104" t="s">
        <v>122</v>
      </c>
      <c r="E40" s="104" t="s">
        <v>123</v>
      </c>
      <c r="F40" s="104" t="s">
        <v>79</v>
      </c>
      <c r="G40" s="104" t="s">
        <v>124</v>
      </c>
      <c r="H40" s="104" t="s">
        <v>80</v>
      </c>
      <c r="I40" s="104" t="s">
        <v>91</v>
      </c>
    </row>
    <row r="41" spans="1:9" x14ac:dyDescent="0.25">
      <c r="A41" s="75" t="s">
        <v>81</v>
      </c>
      <c r="B41" s="77"/>
      <c r="C41" s="77"/>
      <c r="D41" s="77"/>
      <c r="E41" s="77"/>
      <c r="F41" s="77"/>
      <c r="G41" s="81" t="str">
        <f>IF(OR(D41="",F41=""),"",(D41-F41)/D41)</f>
        <v/>
      </c>
      <c r="H41" s="12" t="str">
        <f>IF(F41="","",IF(F41&lt;200,"JA",IF(D41="","referentie ontbreekt",IF((D41-F41)/D41&gt;=0.25,"JA","NEE"))))</f>
        <v/>
      </c>
      <c r="I41" s="77"/>
    </row>
    <row r="42" spans="1:9" x14ac:dyDescent="0.25">
      <c r="A42" s="75" t="s">
        <v>82</v>
      </c>
      <c r="B42" s="77"/>
      <c r="C42" s="77"/>
      <c r="D42" s="77"/>
      <c r="E42" s="77"/>
      <c r="F42" s="77"/>
      <c r="G42" s="81" t="str">
        <f>IF(OR(D42="",F42=""),"",(D42-F42)/D42)</f>
        <v/>
      </c>
      <c r="H42" s="12" t="str">
        <f>IF(F42="","",IF(F42&lt;200,"JA",IF(D42="","referentie ontbreekt",IF((D42-F42)/D42&gt;=0.25,"JA","NEE"))))</f>
        <v/>
      </c>
      <c r="I42" s="77"/>
    </row>
    <row r="43" spans="1:9" x14ac:dyDescent="0.25">
      <c r="A43" s="75" t="s">
        <v>83</v>
      </c>
      <c r="B43" s="77"/>
      <c r="C43" s="77"/>
      <c r="D43" s="77"/>
      <c r="E43" s="77"/>
      <c r="F43" s="77"/>
      <c r="G43" s="81" t="str">
        <f>IF(OR(D43="",F43=""),"",(D43-F43)/D43)</f>
        <v/>
      </c>
      <c r="H43" s="12" t="str">
        <f>IF(F43="","",IF(F43&lt;200,"JA",IF(D43="","referentie ontbreekt",IF((D43-F43)/D43&gt;=0.25,"JA","NEE"))))</f>
        <v/>
      </c>
      <c r="I43" s="77"/>
    </row>
    <row r="44" spans="1:9" x14ac:dyDescent="0.25">
      <c r="A44" s="75" t="s">
        <v>84</v>
      </c>
      <c r="B44" s="77"/>
      <c r="C44" s="77"/>
      <c r="D44" s="77"/>
      <c r="E44" s="77"/>
      <c r="F44" s="77"/>
      <c r="G44" s="81" t="str">
        <f>IF(OR(D44="",F44=""),"",(D44-F44)/D44)</f>
        <v/>
      </c>
      <c r="H44" s="12" t="str">
        <f>IF(F44="","",IF(F44&lt;200,"JA",IF(D44="","referentie ontbreekt",IF((D44-F44)/D44&gt;=0.25,"JA","NEE"))))</f>
        <v/>
      </c>
      <c r="I44" s="77"/>
    </row>
    <row r="45" spans="1:9" x14ac:dyDescent="0.25">
      <c r="A45" s="75" t="s">
        <v>85</v>
      </c>
      <c r="B45" s="77"/>
      <c r="C45" s="77"/>
      <c r="D45" s="77"/>
      <c r="E45" s="77"/>
      <c r="F45" s="77"/>
      <c r="G45" s="81" t="str">
        <f>IF(OR(D45="",F45=""),"",(D45-F45)/D45)</f>
        <v/>
      </c>
      <c r="H45" s="12" t="str">
        <f>IF(F45="","",IF(F45&lt;200,"JA",IF(D45="","referentie ontbreekt",IF((D45-F45)/D45&gt;=0.25,"JA","NEE"))))</f>
        <v/>
      </c>
      <c r="I45" s="77"/>
    </row>
    <row r="46" spans="1:9" x14ac:dyDescent="0.25">
      <c r="A46" s="75" t="s">
        <v>86</v>
      </c>
      <c r="B46" s="77"/>
      <c r="C46" s="77"/>
      <c r="D46" s="77"/>
      <c r="E46" s="77"/>
      <c r="F46" s="77"/>
      <c r="G46" s="81" t="str">
        <f>IF(OR(D46="",F46=""),"",(D46-F46)/D46)</f>
        <v/>
      </c>
      <c r="H46" s="12" t="str">
        <f>IF(F46="","",IF(F46&lt;200,"JA",IF(D46="","referentie ontbreekt",IF((D46-F46)/D46&gt;=0.25,"JA","NEE"))))</f>
        <v/>
      </c>
      <c r="I46" s="77"/>
    </row>
    <row r="47" spans="1:9" x14ac:dyDescent="0.25">
      <c r="A47" s="79" t="s">
        <v>92</v>
      </c>
    </row>
    <row r="49" spans="1:8" x14ac:dyDescent="0.25">
      <c r="A49" s="74" t="s">
        <v>93</v>
      </c>
    </row>
    <row r="50" spans="1:8" x14ac:dyDescent="0.25">
      <c r="A50" s="73" t="s">
        <v>94</v>
      </c>
    </row>
    <row r="51" spans="1:8" x14ac:dyDescent="0.25">
      <c r="A51" s="78" t="s">
        <v>71</v>
      </c>
      <c r="E51" s="78" t="s">
        <v>72</v>
      </c>
    </row>
    <row r="52" spans="1:8" x14ac:dyDescent="0.25">
      <c r="A52" s="80"/>
      <c r="B52" s="80"/>
      <c r="C52" s="80"/>
      <c r="D52" s="80"/>
      <c r="E52" s="80"/>
      <c r="F52" s="80"/>
      <c r="G52" s="80"/>
      <c r="H52" s="80"/>
    </row>
    <row r="53" spans="1:8" x14ac:dyDescent="0.25">
      <c r="A53" s="80"/>
      <c r="B53" s="80"/>
      <c r="C53" s="80"/>
      <c r="D53" s="80"/>
      <c r="E53" s="80"/>
      <c r="F53" s="80"/>
      <c r="G53" s="80"/>
      <c r="H53" s="80"/>
    </row>
    <row r="54" spans="1:8" x14ac:dyDescent="0.25">
      <c r="A54" s="80"/>
      <c r="B54" s="80"/>
      <c r="C54" s="80"/>
      <c r="D54" s="80"/>
      <c r="E54" s="80"/>
      <c r="F54" s="80"/>
      <c r="G54" s="80"/>
      <c r="H54" s="80"/>
    </row>
    <row r="55" spans="1:8" x14ac:dyDescent="0.25">
      <c r="A55" s="80"/>
      <c r="B55" s="80"/>
      <c r="C55" s="80"/>
      <c r="D55" s="80"/>
      <c r="E55" s="80"/>
      <c r="F55" s="80"/>
      <c r="G55" s="80"/>
      <c r="H55" s="80"/>
    </row>
    <row r="56" spans="1:8" x14ac:dyDescent="0.25">
      <c r="A56" s="80"/>
      <c r="B56" s="80"/>
      <c r="C56" s="80"/>
      <c r="D56" s="80"/>
      <c r="E56" s="80"/>
      <c r="F56" s="80"/>
      <c r="G56" s="80"/>
      <c r="H56" s="80"/>
    </row>
    <row r="57" spans="1:8" x14ac:dyDescent="0.25">
      <c r="A57" s="80"/>
      <c r="B57" s="80"/>
      <c r="C57" s="80"/>
      <c r="D57" s="80"/>
      <c r="E57" s="80"/>
      <c r="F57" s="80"/>
      <c r="G57" s="80"/>
      <c r="H57" s="80"/>
    </row>
    <row r="58" spans="1:8" x14ac:dyDescent="0.25">
      <c r="A58" s="80"/>
      <c r="B58" s="80"/>
      <c r="C58" s="80"/>
      <c r="D58" s="80"/>
      <c r="E58" s="80"/>
      <c r="F58" s="80"/>
      <c r="G58" s="80"/>
      <c r="H58" s="80"/>
    </row>
    <row r="59" spans="1:8" x14ac:dyDescent="0.25">
      <c r="A59" s="80"/>
      <c r="B59" s="80"/>
      <c r="C59" s="80"/>
      <c r="D59" s="80"/>
      <c r="E59" s="80"/>
      <c r="F59" s="80"/>
      <c r="G59" s="80"/>
      <c r="H59" s="80"/>
    </row>
    <row r="60" spans="1:8" x14ac:dyDescent="0.25">
      <c r="A60" s="80"/>
      <c r="B60" s="80"/>
      <c r="C60" s="80"/>
      <c r="D60" s="80"/>
      <c r="E60" s="80"/>
      <c r="F60" s="80"/>
      <c r="G60" s="80"/>
      <c r="H60" s="80"/>
    </row>
    <row r="61" spans="1:8" x14ac:dyDescent="0.25">
      <c r="A61" s="80"/>
      <c r="B61" s="80"/>
      <c r="C61" s="80"/>
      <c r="D61" s="80"/>
      <c r="E61" s="80"/>
      <c r="F61" s="80"/>
      <c r="G61" s="80"/>
      <c r="H61" s="80"/>
    </row>
    <row r="62" spans="1:8" x14ac:dyDescent="0.25">
      <c r="A62" s="80"/>
      <c r="B62" s="80"/>
      <c r="C62" s="80"/>
      <c r="D62" s="80"/>
      <c r="E62" s="80"/>
      <c r="F62" s="80"/>
      <c r="G62" s="80"/>
      <c r="H62" s="80"/>
    </row>
    <row r="63" spans="1:8" x14ac:dyDescent="0.25">
      <c r="A63" s="80"/>
      <c r="B63" s="80"/>
      <c r="C63" s="80"/>
      <c r="D63" s="80"/>
      <c r="E63" s="80"/>
      <c r="F63" s="80"/>
      <c r="G63" s="80"/>
      <c r="H63" s="80"/>
    </row>
    <row r="64" spans="1:8" x14ac:dyDescent="0.25">
      <c r="A64" s="80"/>
      <c r="B64" s="80"/>
      <c r="C64" s="80"/>
      <c r="D64" s="80"/>
      <c r="E64" s="80"/>
      <c r="F64" s="80"/>
      <c r="G64" s="80"/>
      <c r="H64" s="80"/>
    </row>
    <row r="65" spans="1:9" x14ac:dyDescent="0.25">
      <c r="A65" s="80"/>
      <c r="B65" s="80"/>
      <c r="C65" s="80"/>
      <c r="D65" s="80"/>
      <c r="E65" s="80"/>
      <c r="F65" s="80"/>
      <c r="G65" s="80"/>
      <c r="H65" s="80"/>
    </row>
    <row r="66" spans="1:9" x14ac:dyDescent="0.25">
      <c r="A66" s="80"/>
      <c r="B66" s="80"/>
      <c r="C66" s="80"/>
      <c r="D66" s="80"/>
      <c r="E66" s="80"/>
      <c r="F66" s="80"/>
      <c r="G66" s="80"/>
      <c r="H66" s="80"/>
    </row>
    <row r="67" spans="1:9" x14ac:dyDescent="0.25">
      <c r="A67" s="80"/>
      <c r="B67" s="80"/>
      <c r="C67" s="80"/>
      <c r="D67" s="80"/>
      <c r="E67" s="80"/>
      <c r="F67" s="80"/>
      <c r="G67" s="80"/>
      <c r="H67" s="80"/>
    </row>
    <row r="69" spans="1:9" x14ac:dyDescent="0.25">
      <c r="A69" s="74" t="s">
        <v>95</v>
      </c>
    </row>
    <row r="70" spans="1:9" x14ac:dyDescent="0.25">
      <c r="A70" s="73" t="s">
        <v>129</v>
      </c>
    </row>
    <row r="71" spans="1:9" ht="39" x14ac:dyDescent="0.25">
      <c r="A71" s="104" t="s">
        <v>96</v>
      </c>
      <c r="B71" s="104" t="s">
        <v>78</v>
      </c>
      <c r="C71" s="105"/>
      <c r="D71" s="104" t="s">
        <v>122</v>
      </c>
      <c r="E71" s="104" t="s">
        <v>123</v>
      </c>
      <c r="F71" s="104" t="s">
        <v>79</v>
      </c>
      <c r="G71" s="104" t="s">
        <v>124</v>
      </c>
      <c r="H71" s="104" t="s">
        <v>80</v>
      </c>
      <c r="I71" s="105"/>
    </row>
    <row r="72" spans="1:9" x14ac:dyDescent="0.25">
      <c r="A72" s="78" t="s">
        <v>69</v>
      </c>
    </row>
    <row r="73" spans="1:9" x14ac:dyDescent="0.25">
      <c r="A73" s="75" t="s">
        <v>97</v>
      </c>
      <c r="B73" s="75" t="s">
        <v>98</v>
      </c>
      <c r="D73" s="77"/>
      <c r="E73" s="77"/>
      <c r="F73" s="77"/>
      <c r="G73" s="81" t="str">
        <f>IF(OR(D73="",F73=""),"",(D73-F73)/D73)</f>
        <v/>
      </c>
      <c r="H73" s="12" t="str">
        <f>IF(F73="","",IF(F73&lt;200,"JA",IF(D73="","referentie ontbreekt",IF((D73-F73)/D73&gt;=0.25,"JA","NEE"))))</f>
        <v/>
      </c>
    </row>
    <row r="74" spans="1:9" x14ac:dyDescent="0.25">
      <c r="A74" s="75" t="s">
        <v>99</v>
      </c>
      <c r="B74" s="75" t="s">
        <v>100</v>
      </c>
      <c r="D74" s="77"/>
      <c r="E74" s="77"/>
      <c r="F74" s="77"/>
      <c r="G74" s="81" t="str">
        <f>IF(OR(D74="",F74=""),"",(D74-F74)/D74)</f>
        <v/>
      </c>
      <c r="H74" s="12" t="str">
        <f>IF(F74="","",IF(F74&lt;200,"JA",IF(D74="","referentie ontbreekt",IF((D74-F74)/D74&gt;=0.25,"JA","NEE"))))</f>
        <v/>
      </c>
    </row>
    <row r="75" spans="1:9" x14ac:dyDescent="0.25">
      <c r="A75" s="75" t="s">
        <v>101</v>
      </c>
      <c r="B75" s="75" t="s">
        <v>102</v>
      </c>
      <c r="D75" s="77"/>
      <c r="E75" s="77"/>
      <c r="F75" s="77"/>
      <c r="G75" s="81" t="str">
        <f>IF(OR(D75="",F75=""),"",(D75-F75)/D75)</f>
        <v/>
      </c>
      <c r="H75" s="12" t="str">
        <f>IF(F75="","",IF(F75&lt;200,"JA",IF(D75="","referentie ontbreekt",IF((D75-F75)/D75&gt;=0.25,"JA","NEE"))))</f>
        <v/>
      </c>
    </row>
    <row r="76" spans="1:9" x14ac:dyDescent="0.25">
      <c r="A76" s="75" t="s">
        <v>103</v>
      </c>
      <c r="B76" s="75" t="s">
        <v>104</v>
      </c>
      <c r="D76" s="77"/>
      <c r="E76" s="77"/>
      <c r="F76" s="77"/>
      <c r="G76" s="81" t="str">
        <f>IF(OR(D76="",F76=""),"",(D76-F76)/D76)</f>
        <v/>
      </c>
      <c r="H76" s="12" t="str">
        <f>IF(F76="","",IF(F76&lt;200,"JA",IF(D76="","referentie ontbreekt",IF((D76-F76)/D76&gt;=0.25,"JA","NEE"))))</f>
        <v/>
      </c>
    </row>
    <row r="77" spans="1:9" x14ac:dyDescent="0.25">
      <c r="A77" s="75" t="s">
        <v>105</v>
      </c>
      <c r="B77" s="75" t="s">
        <v>106</v>
      </c>
      <c r="D77" s="77"/>
      <c r="E77" s="77"/>
      <c r="F77" s="77"/>
      <c r="G77" s="81" t="str">
        <f>IF(OR(D77="",F77=""),"",(D77-F77)/D77)</f>
        <v/>
      </c>
      <c r="H77" s="12" t="str">
        <f>IF(F77="","",IF(F77&lt;200,"JA",IF(D77="","referentie ontbreekt",IF((D77-F77)/D77&gt;=0.25,"JA","NEE"))))</f>
        <v/>
      </c>
    </row>
    <row r="78" spans="1:9" x14ac:dyDescent="0.25">
      <c r="A78" s="75" t="s">
        <v>107</v>
      </c>
      <c r="B78" s="75" t="s">
        <v>108</v>
      </c>
      <c r="D78" s="77"/>
      <c r="E78" s="77"/>
      <c r="F78" s="77"/>
      <c r="G78" s="81" t="str">
        <f>IF(OR(D78="",F78=""),"",(D78-F78)/D78)</f>
        <v/>
      </c>
      <c r="H78" s="12" t="str">
        <f>IF(F78="","",IF(F78&lt;200,"JA",IF(D78="","referentie ontbreekt",IF((D78-F78)/D78&gt;=0.25,"JA","NEE"))))</f>
        <v/>
      </c>
    </row>
    <row r="79" spans="1:9" x14ac:dyDescent="0.25">
      <c r="A79" s="75" t="s">
        <v>109</v>
      </c>
      <c r="B79" s="75" t="s">
        <v>110</v>
      </c>
      <c r="D79" s="77"/>
      <c r="E79" s="77"/>
      <c r="F79" s="77"/>
      <c r="G79" s="81" t="str">
        <f>IF(OR(D79="",F79=""),"",(D79-F79)/D79)</f>
        <v/>
      </c>
      <c r="H79" s="12" t="str">
        <f>IF(F79="","",IF(F79&lt;200,"JA",IF(D79="","referentie ontbreekt",IF((D79-F79)/D79&gt;=0.25,"JA","NEE"))))</f>
        <v/>
      </c>
    </row>
    <row r="80" spans="1:9" x14ac:dyDescent="0.25">
      <c r="A80" s="75" t="s">
        <v>111</v>
      </c>
      <c r="B80" s="75" t="s">
        <v>112</v>
      </c>
      <c r="D80" s="77"/>
      <c r="E80" s="77"/>
      <c r="F80" s="77"/>
      <c r="G80" s="81" t="str">
        <f>IF(OR(D80="",F80=""),"",(D80-F80)/D80)</f>
        <v/>
      </c>
      <c r="H80" s="12" t="str">
        <f>IF(F80="","",IF(F80&lt;200,"JA",IF(D80="","referentie ontbreekt",IF((D80-F80)/D80&gt;=0.25,"JA","NEE"))))</f>
        <v/>
      </c>
    </row>
    <row r="81" spans="1:8" x14ac:dyDescent="0.25">
      <c r="A81" s="78" t="s">
        <v>68</v>
      </c>
    </row>
    <row r="82" spans="1:8" x14ac:dyDescent="0.25">
      <c r="A82" s="75" t="s">
        <v>113</v>
      </c>
      <c r="B82" s="75" t="s">
        <v>98</v>
      </c>
      <c r="D82" s="77"/>
      <c r="E82" s="77"/>
      <c r="F82" s="77"/>
      <c r="G82" s="81" t="str">
        <f>IF(OR(D82="",F82=""),"",(D82-F82)/D82)</f>
        <v/>
      </c>
      <c r="H82" s="12" t="str">
        <f>IF(F82="","",IF(F82&lt;200,"JA",IF(D82="","referentie ontbreekt",IF((D82-F82)/D82&gt;=0.25,"JA","NEE"))))</f>
        <v/>
      </c>
    </row>
    <row r="83" spans="1:8" x14ac:dyDescent="0.25">
      <c r="A83" s="75" t="s">
        <v>114</v>
      </c>
      <c r="B83" s="75" t="s">
        <v>100</v>
      </c>
      <c r="D83" s="77"/>
      <c r="E83" s="77"/>
      <c r="F83" s="77"/>
      <c r="G83" s="81" t="str">
        <f>IF(OR(D83="",F83=""),"",(D83-F83)/D83)</f>
        <v/>
      </c>
      <c r="H83" s="12" t="str">
        <f>IF(F83="","",IF(F83&lt;200,"JA",IF(D83="","referentie ontbreekt",IF((D83-F83)/D83&gt;=0.25,"JA","NEE"))))</f>
        <v/>
      </c>
    </row>
    <row r="84" spans="1:8" x14ac:dyDescent="0.25">
      <c r="A84" s="75" t="s">
        <v>115</v>
      </c>
      <c r="B84" s="75" t="s">
        <v>102</v>
      </c>
      <c r="D84" s="77"/>
      <c r="E84" s="77"/>
      <c r="F84" s="77"/>
      <c r="G84" s="81" t="str">
        <f>IF(OR(D84="",F84=""),"",(D84-F84)/D84)</f>
        <v/>
      </c>
      <c r="H84" s="12" t="str">
        <f>IF(F84="","",IF(F84&lt;200,"JA",IF(D84="","referentie ontbreekt",IF((D84-F84)/D84&gt;=0.25,"JA","NEE"))))</f>
        <v/>
      </c>
    </row>
    <row r="85" spans="1:8" x14ac:dyDescent="0.25">
      <c r="A85" s="75" t="s">
        <v>116</v>
      </c>
      <c r="B85" s="75" t="s">
        <v>104</v>
      </c>
      <c r="D85" s="77"/>
      <c r="E85" s="77"/>
      <c r="F85" s="77"/>
      <c r="G85" s="81" t="str">
        <f>IF(OR(D85="",F85=""),"",(D85-F85)/D85)</f>
        <v/>
      </c>
      <c r="H85" s="12" t="str">
        <f>IF(F85="","",IF(F85&lt;200,"JA",IF(D85="","referentie ontbreekt",IF((D85-F85)/D85&gt;=0.25,"JA","NEE"))))</f>
        <v/>
      </c>
    </row>
    <row r="86" spans="1:8" x14ac:dyDescent="0.25">
      <c r="A86" s="75" t="s">
        <v>117</v>
      </c>
      <c r="B86" s="75" t="s">
        <v>106</v>
      </c>
      <c r="D86" s="77"/>
      <c r="E86" s="77"/>
      <c r="F86" s="77"/>
      <c r="G86" s="81" t="str">
        <f>IF(OR(D86="",F86=""),"",(D86-F86)/D86)</f>
        <v/>
      </c>
      <c r="H86" s="12" t="str">
        <f>IF(F86="","",IF(F86&lt;200,"JA",IF(D86="","referentie ontbreekt",IF((D86-F86)/D86&gt;=0.25,"JA","NEE"))))</f>
        <v/>
      </c>
    </row>
    <row r="87" spans="1:8" x14ac:dyDescent="0.25">
      <c r="A87" s="75" t="s">
        <v>118</v>
      </c>
      <c r="B87" s="75" t="s">
        <v>108</v>
      </c>
      <c r="D87" s="77"/>
      <c r="E87" s="77"/>
      <c r="F87" s="77"/>
      <c r="G87" s="81" t="str">
        <f>IF(OR(D87="",F87=""),"",(D87-F87)/D87)</f>
        <v/>
      </c>
      <c r="H87" s="12" t="str">
        <f>IF(F87="","",IF(F87&lt;200,"JA",IF(D87="","referentie ontbreekt",IF((D87-F87)/D87&gt;=0.25,"JA","NEE"))))</f>
        <v/>
      </c>
    </row>
    <row r="88" spans="1:8" x14ac:dyDescent="0.25">
      <c r="A88" s="75" t="s">
        <v>119</v>
      </c>
      <c r="B88" s="75" t="s">
        <v>110</v>
      </c>
      <c r="D88" s="77"/>
      <c r="E88" s="77"/>
      <c r="F88" s="77"/>
      <c r="G88" s="81" t="str">
        <f>IF(OR(D88="",F88=""),"",(D88-F88)/D88)</f>
        <v/>
      </c>
      <c r="H88" s="12" t="str">
        <f>IF(F88="","",IF(F88&lt;200,"JA",IF(D88="","referentie ontbreekt",IF((D88-F88)/D88&gt;=0.25,"JA","NEE"))))</f>
        <v/>
      </c>
    </row>
    <row r="89" spans="1:8" x14ac:dyDescent="0.25">
      <c r="A89" s="75" t="s">
        <v>120</v>
      </c>
      <c r="B89" s="75" t="s">
        <v>112</v>
      </c>
      <c r="D89" s="77"/>
      <c r="E89" s="77"/>
      <c r="F89" s="77"/>
      <c r="G89" s="81" t="str">
        <f>IF(OR(D89="",F89=""),"",(D89-F89)/D89)</f>
        <v/>
      </c>
      <c r="H89" s="12" t="str">
        <f>IF(F89="","",IF(F89&lt;200,"JA",IF(D89="","referentie ontbreekt",IF((D89-F89)/D89&gt;=0.25,"JA","NEE"))))</f>
        <v/>
      </c>
    </row>
    <row r="91" spans="1:8" x14ac:dyDescent="0.25">
      <c r="A91" s="76" t="s">
        <v>121</v>
      </c>
    </row>
  </sheetData>
  <mergeCells count="1">
    <mergeCell ref="A35:I3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0E264A-6F20-4661-A1D4-50FFC39C3BEF}">
  <sheetPr>
    <tabColor rgb="FF1A4F9C"/>
    <pageSetUpPr fitToPage="1"/>
  </sheetPr>
  <dimension ref="A1:CT73"/>
  <sheetViews>
    <sheetView showGridLines="0" zoomScale="85" zoomScaleNormal="85" workbookViewId="0">
      <pane xSplit="4" topLeftCell="E1" activePane="topRight" state="frozen"/>
      <selection pane="topRight" activeCell="F11" sqref="F11"/>
    </sheetView>
  </sheetViews>
  <sheetFormatPr defaultColWidth="8.85546875" defaultRowHeight="15" x14ac:dyDescent="0.25"/>
  <cols>
    <col min="1" max="1" width="13.7109375" customWidth="1"/>
    <col min="2" max="2" width="5.7109375" customWidth="1"/>
    <col min="3" max="3" width="23.85546875" customWidth="1"/>
    <col min="4" max="4" width="10.7109375" customWidth="1"/>
    <col min="5" max="6" width="12.140625" customWidth="1"/>
    <col min="7" max="7" width="12.140625" style="4" customWidth="1"/>
    <col min="8" max="8" width="12.140625" customWidth="1"/>
    <col min="9" max="11" width="12.140625" style="2" customWidth="1"/>
    <col min="12" max="12" width="12.140625" customWidth="1"/>
    <col min="13" max="13" width="3" customWidth="1"/>
    <col min="14" max="20" width="12.140625" customWidth="1"/>
    <col min="21" max="21" width="8.85546875" style="7"/>
    <col min="22" max="22" width="21" style="7" customWidth="1"/>
    <col min="23" max="25" width="13.28515625" style="7" customWidth="1"/>
    <col min="26" max="98" width="8.85546875" style="7"/>
  </cols>
  <sheetData>
    <row r="1" spans="1:98" ht="6" customHeight="1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98" ht="33.950000000000003" customHeight="1" x14ac:dyDescent="0.5">
      <c r="A2" s="13"/>
      <c r="B2" s="13"/>
      <c r="C2" s="13"/>
      <c r="D2" s="13"/>
      <c r="E2" s="82" t="s">
        <v>25</v>
      </c>
      <c r="F2" s="83"/>
      <c r="G2" s="83"/>
      <c r="H2" s="83"/>
      <c r="I2" s="83"/>
      <c r="J2" s="83"/>
      <c r="K2" s="83"/>
      <c r="L2" s="83"/>
      <c r="M2" s="13"/>
      <c r="N2" s="13"/>
      <c r="O2" s="13"/>
      <c r="P2" s="13"/>
      <c r="Q2" s="13"/>
      <c r="R2" s="13"/>
      <c r="S2" s="13"/>
      <c r="T2" s="13"/>
    </row>
    <row r="3" spans="1:98" ht="18" customHeight="1" x14ac:dyDescent="0.25">
      <c r="A3" s="13"/>
      <c r="B3" s="13"/>
      <c r="C3" s="13"/>
      <c r="D3" s="13"/>
      <c r="E3" s="84" t="s">
        <v>26</v>
      </c>
      <c r="F3" s="83"/>
      <c r="G3" s="83"/>
      <c r="H3" s="83"/>
      <c r="I3" s="83"/>
      <c r="J3" s="83"/>
      <c r="K3" s="83"/>
      <c r="L3" s="83"/>
      <c r="M3" s="13"/>
      <c r="N3" s="13"/>
      <c r="O3" s="13"/>
      <c r="P3" s="13"/>
      <c r="Q3" s="13"/>
      <c r="R3" s="13"/>
      <c r="S3" s="13"/>
      <c r="T3" s="13"/>
    </row>
    <row r="4" spans="1:98" ht="3.95" customHeight="1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V4" s="70" t="s">
        <v>33</v>
      </c>
    </row>
    <row r="5" spans="1:98" x14ac:dyDescent="0.25">
      <c r="U5" s="5"/>
      <c r="X5" s="58" t="s">
        <v>32</v>
      </c>
      <c r="Y5" s="57">
        <v>200</v>
      </c>
    </row>
    <row r="6" spans="1:98" ht="15.75" x14ac:dyDescent="0.25">
      <c r="A6" s="64" t="s">
        <v>12</v>
      </c>
      <c r="B6" s="90"/>
      <c r="C6" s="91"/>
      <c r="D6" s="92"/>
      <c r="E6" s="65"/>
      <c r="F6" s="65"/>
      <c r="G6" s="59" t="s">
        <v>13</v>
      </c>
      <c r="H6" s="66"/>
      <c r="I6" s="50"/>
      <c r="J6" s="50"/>
      <c r="K6" s="50"/>
      <c r="L6" s="67"/>
      <c r="M6" s="67"/>
      <c r="N6" s="67"/>
      <c r="O6" s="67"/>
      <c r="P6" s="67"/>
      <c r="Q6" s="67"/>
      <c r="R6" s="67"/>
      <c r="S6" s="67"/>
      <c r="T6" s="67"/>
      <c r="U6" s="5"/>
      <c r="V6" s="69" t="s">
        <v>28</v>
      </c>
      <c r="W6" s="68"/>
      <c r="X6" s="68"/>
      <c r="Y6" s="68"/>
    </row>
    <row r="7" spans="1:98" ht="15.75" x14ac:dyDescent="0.25">
      <c r="A7" s="16"/>
      <c r="E7" s="15"/>
      <c r="F7" s="15"/>
      <c r="G7" s="17"/>
      <c r="H7" s="18"/>
      <c r="U7" s="5"/>
      <c r="V7" s="69" t="s">
        <v>29</v>
      </c>
      <c r="W7" s="69" t="s">
        <v>35</v>
      </c>
      <c r="X7" s="69" t="s">
        <v>37</v>
      </c>
      <c r="Y7" s="69" t="s">
        <v>30</v>
      </c>
    </row>
    <row r="8" spans="1:98" s="5" customFormat="1" ht="14.45" customHeight="1" x14ac:dyDescent="0.25">
      <c r="A8"/>
      <c r="B8"/>
      <c r="C8"/>
      <c r="D8" s="85" t="s">
        <v>130</v>
      </c>
      <c r="E8" s="86"/>
      <c r="F8" s="86"/>
      <c r="G8" s="86"/>
      <c r="H8" s="86"/>
      <c r="I8" s="86"/>
      <c r="J8" s="86"/>
      <c r="K8" s="86"/>
      <c r="L8" s="87"/>
      <c r="M8"/>
      <c r="N8" s="85" t="s">
        <v>131</v>
      </c>
      <c r="O8" s="86"/>
      <c r="P8" s="86"/>
      <c r="Q8" s="86"/>
      <c r="R8" s="86"/>
      <c r="S8" s="86"/>
      <c r="T8" s="87"/>
      <c r="V8" s="68" t="str">
        <f>C11</f>
        <v>G_Left Hallux</v>
      </c>
      <c r="W8" s="68">
        <f>E11</f>
        <v>415.3</v>
      </c>
      <c r="X8" s="68">
        <f>G11</f>
        <v>415.3</v>
      </c>
      <c r="Y8" s="68">
        <f>$Y$5</f>
        <v>200</v>
      </c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</row>
    <row r="9" spans="1:98" s="5" customFormat="1" ht="24" customHeight="1" x14ac:dyDescent="0.25">
      <c r="A9" s="93" t="s">
        <v>9</v>
      </c>
      <c r="B9" s="94"/>
      <c r="C9" s="34"/>
      <c r="D9" s="35"/>
      <c r="E9" s="61" t="s">
        <v>35</v>
      </c>
      <c r="F9" s="62" t="s">
        <v>24</v>
      </c>
      <c r="G9" s="88" t="s">
        <v>37</v>
      </c>
      <c r="H9" s="89"/>
      <c r="I9" s="88" t="s">
        <v>38</v>
      </c>
      <c r="J9" s="89"/>
      <c r="K9" s="88" t="s">
        <v>39</v>
      </c>
      <c r="L9" s="89"/>
      <c r="M9" s="63"/>
      <c r="N9" s="60" t="s">
        <v>132</v>
      </c>
      <c r="O9" s="88" t="s">
        <v>37</v>
      </c>
      <c r="P9" s="89"/>
      <c r="Q9" s="88" t="s">
        <v>38</v>
      </c>
      <c r="R9" s="89"/>
      <c r="S9" s="88" t="s">
        <v>39</v>
      </c>
      <c r="T9" s="89"/>
      <c r="V9" s="68" t="str">
        <f t="shared" ref="V9:V13" si="0">C12</f>
        <v>H_Left Metatarsal 1</v>
      </c>
      <c r="W9" s="68">
        <f t="shared" ref="W9:W13" si="1">E12</f>
        <v>415.3</v>
      </c>
      <c r="X9" s="68">
        <f t="shared" ref="X9:X13" si="2">G12</f>
        <v>415.3</v>
      </c>
      <c r="Y9" s="68">
        <f t="shared" ref="Y9:Y13" si="3">$Y$5</f>
        <v>200</v>
      </c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</row>
    <row r="10" spans="1:98" s="5" customFormat="1" ht="48" x14ac:dyDescent="0.25">
      <c r="A10" s="95"/>
      <c r="B10" s="96"/>
      <c r="C10" s="34"/>
      <c r="D10" s="35"/>
      <c r="E10" s="36" t="s">
        <v>10</v>
      </c>
      <c r="F10" s="36" t="s">
        <v>134</v>
      </c>
      <c r="G10" s="36" t="s">
        <v>10</v>
      </c>
      <c r="H10" s="36" t="s">
        <v>34</v>
      </c>
      <c r="I10" s="36" t="s">
        <v>10</v>
      </c>
      <c r="J10" s="36" t="s">
        <v>34</v>
      </c>
      <c r="K10" s="36" t="s">
        <v>10</v>
      </c>
      <c r="L10" s="36" t="s">
        <v>34</v>
      </c>
      <c r="M10" s="63"/>
      <c r="N10" s="36" t="s">
        <v>10</v>
      </c>
      <c r="O10" s="36" t="s">
        <v>10</v>
      </c>
      <c r="P10" s="36" t="s">
        <v>133</v>
      </c>
      <c r="Q10" s="36" t="s">
        <v>10</v>
      </c>
      <c r="R10" s="36" t="s">
        <v>133</v>
      </c>
      <c r="S10" s="36" t="s">
        <v>10</v>
      </c>
      <c r="T10" s="36" t="s">
        <v>133</v>
      </c>
      <c r="V10" s="68" t="str">
        <f t="shared" si="0"/>
        <v>I_Left Meta 2-3</v>
      </c>
      <c r="W10" s="68">
        <f t="shared" si="1"/>
        <v>247.6</v>
      </c>
      <c r="X10" s="68">
        <f t="shared" si="2"/>
        <v>305.39999999999998</v>
      </c>
      <c r="Y10" s="68">
        <f t="shared" si="3"/>
        <v>200</v>
      </c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</row>
    <row r="11" spans="1:98" s="5" customFormat="1" ht="21.95" customHeight="1" x14ac:dyDescent="0.25">
      <c r="A11" s="95"/>
      <c r="B11" s="96"/>
      <c r="C11" s="37" t="s">
        <v>3</v>
      </c>
      <c r="D11" s="38"/>
      <c r="E11" s="39">
        <f t="shared" ref="E11:E16" si="4">IF(J51="","",J51)</f>
        <v>415.3</v>
      </c>
      <c r="F11" s="40" t="str">
        <f>IF(E11="","",IF(AND(E11&gt;200,RANK(E11,$E$11:$E$16)&lt;=2),"TARGET",""))</f>
        <v>TARGET</v>
      </c>
      <c r="G11" s="41">
        <f t="shared" ref="G11:G16" si="5">IF(J68="","",J68)</f>
        <v>415.3</v>
      </c>
      <c r="H11" s="44">
        <f t="shared" ref="H11:H16" si="6">IF(OR($E11="",G11=""),"",((G11-$E11)/$E11)*100)</f>
        <v>0</v>
      </c>
      <c r="I11" s="41"/>
      <c r="J11" s="44" t="str">
        <f t="shared" ref="J11:J16" si="7">IF(OR($E11="",I11=""),"",((I11-$E11)/$E11)*100)</f>
        <v/>
      </c>
      <c r="K11" s="41"/>
      <c r="L11" s="44" t="str">
        <f t="shared" ref="L11:L16" si="8">IF(OR($E11="",K11=""),"",((K11-$E11)/$E11)*100)</f>
        <v/>
      </c>
      <c r="M11" s="33"/>
      <c r="N11" s="41">
        <f>IF(E11="","",E11)</f>
        <v>415.3</v>
      </c>
      <c r="O11" s="41"/>
      <c r="P11" s="44" t="str">
        <f t="shared" ref="P11:P16" si="9">IF(OR($N11="",O11=""),"",((O11-$N11)/$N11)*100)</f>
        <v/>
      </c>
      <c r="Q11" s="41"/>
      <c r="R11" s="44" t="str">
        <f t="shared" ref="R11:R16" si="10">IF(OR($N11="",Q11=""),"",((Q11-$N11)/$N11)*100)</f>
        <v/>
      </c>
      <c r="S11" s="41"/>
      <c r="T11" s="44" t="str">
        <f t="shared" ref="T11:T16" si="11">IF(OR($N11="",S11=""),"",((S11-$N11)/$N11)*100)</f>
        <v/>
      </c>
      <c r="V11" s="68" t="str">
        <f t="shared" si="0"/>
        <v>J_Left Meta 4-5</v>
      </c>
      <c r="W11" s="68">
        <f t="shared" si="1"/>
        <v>175.5</v>
      </c>
      <c r="X11" s="68">
        <f t="shared" si="2"/>
        <v>148.19999999999999</v>
      </c>
      <c r="Y11" s="68">
        <f t="shared" si="3"/>
        <v>200</v>
      </c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</row>
    <row r="12" spans="1:98" s="5" customFormat="1" ht="21.95" customHeight="1" x14ac:dyDescent="0.25">
      <c r="A12" s="95"/>
      <c r="B12" s="96"/>
      <c r="C12" s="37" t="s">
        <v>4</v>
      </c>
      <c r="D12" s="38"/>
      <c r="E12" s="39">
        <f t="shared" si="4"/>
        <v>415.3</v>
      </c>
      <c r="F12" s="40" t="str">
        <f>IF(E12="","",IF(AND(E12&gt;200,RANK(E12,$E$11:$E$16)&lt;=2),"TARGET",""))</f>
        <v>TARGET</v>
      </c>
      <c r="G12" s="41">
        <f t="shared" si="5"/>
        <v>415.3</v>
      </c>
      <c r="H12" s="44">
        <f t="shared" si="6"/>
        <v>0</v>
      </c>
      <c r="I12" s="41"/>
      <c r="J12" s="44" t="str">
        <f t="shared" si="7"/>
        <v/>
      </c>
      <c r="K12" s="41"/>
      <c r="L12" s="44" t="str">
        <f t="shared" si="8"/>
        <v/>
      </c>
      <c r="M12" s="33"/>
      <c r="N12" s="41">
        <f>IF(E12="","",E12)</f>
        <v>415.3</v>
      </c>
      <c r="O12" s="41"/>
      <c r="P12" s="44" t="str">
        <f t="shared" si="9"/>
        <v/>
      </c>
      <c r="Q12" s="41"/>
      <c r="R12" s="44" t="str">
        <f t="shared" si="10"/>
        <v/>
      </c>
      <c r="S12" s="41"/>
      <c r="T12" s="44" t="str">
        <f t="shared" si="11"/>
        <v/>
      </c>
      <c r="V12" s="68" t="str">
        <f t="shared" si="0"/>
        <v>K_Left_Midfoot</v>
      </c>
      <c r="W12" s="68">
        <f t="shared" si="1"/>
        <v>168.6</v>
      </c>
      <c r="X12" s="68">
        <f t="shared" si="2"/>
        <v>316.39999999999998</v>
      </c>
      <c r="Y12" s="68">
        <f t="shared" si="3"/>
        <v>200</v>
      </c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</row>
    <row r="13" spans="1:98" s="5" customFormat="1" ht="21.95" customHeight="1" x14ac:dyDescent="0.25">
      <c r="A13" s="95"/>
      <c r="B13" s="96"/>
      <c r="C13" s="37" t="s">
        <v>5</v>
      </c>
      <c r="D13" s="38"/>
      <c r="E13" s="39">
        <f t="shared" si="4"/>
        <v>247.6</v>
      </c>
      <c r="F13" s="40" t="str">
        <f>IF(E13="","",IF(AND(E13&gt;200,RANK(E13,$E$11:$E$16)&lt;=2),"TARGET",""))</f>
        <v/>
      </c>
      <c r="G13" s="41">
        <f t="shared" si="5"/>
        <v>305.39999999999998</v>
      </c>
      <c r="H13" s="44">
        <f t="shared" si="6"/>
        <v>23.344103392568652</v>
      </c>
      <c r="I13" s="41"/>
      <c r="J13" s="44" t="str">
        <f t="shared" si="7"/>
        <v/>
      </c>
      <c r="K13" s="41"/>
      <c r="L13" s="44" t="str">
        <f t="shared" si="8"/>
        <v/>
      </c>
      <c r="M13" s="33"/>
      <c r="N13" s="41">
        <f>IF(E13="","",E13)</f>
        <v>247.6</v>
      </c>
      <c r="O13" s="41"/>
      <c r="P13" s="44" t="str">
        <f t="shared" si="9"/>
        <v/>
      </c>
      <c r="Q13" s="41"/>
      <c r="R13" s="44" t="str">
        <f t="shared" si="10"/>
        <v/>
      </c>
      <c r="S13" s="41"/>
      <c r="T13" s="44" t="str">
        <f t="shared" si="11"/>
        <v/>
      </c>
      <c r="V13" s="68" t="str">
        <f t="shared" si="0"/>
        <v>L_Left Heel</v>
      </c>
      <c r="W13" s="68">
        <f t="shared" si="1"/>
        <v>265.89999999999998</v>
      </c>
      <c r="X13" s="68">
        <f t="shared" si="2"/>
        <v>286.7</v>
      </c>
      <c r="Y13" s="68">
        <f t="shared" si="3"/>
        <v>200</v>
      </c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</row>
    <row r="14" spans="1:98" s="5" customFormat="1" ht="21.95" customHeight="1" x14ac:dyDescent="0.25">
      <c r="A14" s="95"/>
      <c r="B14" s="96"/>
      <c r="C14" s="37" t="s">
        <v>6</v>
      </c>
      <c r="D14" s="38"/>
      <c r="E14" s="42">
        <f t="shared" si="4"/>
        <v>175.5</v>
      </c>
      <c r="F14" s="40" t="str">
        <f>IF(E14="","",IF(AND(E14&gt;200,RANK(E14,$E$11:$E$16)&lt;=2),"TARGET",""))</f>
        <v/>
      </c>
      <c r="G14" s="41">
        <f t="shared" si="5"/>
        <v>148.19999999999999</v>
      </c>
      <c r="H14" s="44">
        <f t="shared" si="6"/>
        <v>-15.555555555555561</v>
      </c>
      <c r="I14" s="41"/>
      <c r="J14" s="44" t="str">
        <f t="shared" si="7"/>
        <v/>
      </c>
      <c r="K14" s="41"/>
      <c r="L14" s="44" t="str">
        <f t="shared" si="8"/>
        <v/>
      </c>
      <c r="M14" s="33"/>
      <c r="N14" s="41">
        <f>IF(E14="","",E14)</f>
        <v>175.5</v>
      </c>
      <c r="O14" s="41"/>
      <c r="P14" s="44" t="str">
        <f t="shared" si="9"/>
        <v/>
      </c>
      <c r="Q14" s="41"/>
      <c r="R14" s="44" t="str">
        <f t="shared" si="10"/>
        <v/>
      </c>
      <c r="S14" s="41"/>
      <c r="T14" s="44" t="str">
        <f t="shared" si="11"/>
        <v/>
      </c>
      <c r="V14" s="68"/>
      <c r="W14" s="68"/>
      <c r="X14" s="68"/>
      <c r="Y14" s="68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</row>
    <row r="15" spans="1:98" s="5" customFormat="1" ht="21.95" customHeight="1" x14ac:dyDescent="0.25">
      <c r="A15" s="95"/>
      <c r="B15" s="96"/>
      <c r="C15" s="37" t="s">
        <v>7</v>
      </c>
      <c r="D15" s="38"/>
      <c r="E15" s="42">
        <f t="shared" si="4"/>
        <v>168.6</v>
      </c>
      <c r="F15" s="40" t="str">
        <f>IF(E15="","",IF(AND(E15&gt;200,RANK(E15,$E$11:$E$16)&lt;=2),"TARGET",""))</f>
        <v/>
      </c>
      <c r="G15" s="41">
        <f t="shared" si="5"/>
        <v>316.39999999999998</v>
      </c>
      <c r="H15" s="44">
        <f t="shared" si="6"/>
        <v>87.663107947805457</v>
      </c>
      <c r="I15" s="41"/>
      <c r="J15" s="44" t="str">
        <f t="shared" si="7"/>
        <v/>
      </c>
      <c r="K15" s="41"/>
      <c r="L15" s="44" t="str">
        <f t="shared" si="8"/>
        <v/>
      </c>
      <c r="M15" s="33"/>
      <c r="N15" s="41">
        <f>IF(E15="","",E15)</f>
        <v>168.6</v>
      </c>
      <c r="O15" s="41"/>
      <c r="P15" s="44" t="str">
        <f t="shared" si="9"/>
        <v/>
      </c>
      <c r="Q15" s="41"/>
      <c r="R15" s="44" t="str">
        <f t="shared" si="10"/>
        <v/>
      </c>
      <c r="S15" s="41"/>
      <c r="T15" s="44" t="str">
        <f t="shared" si="11"/>
        <v/>
      </c>
      <c r="V15" s="68"/>
      <c r="W15" s="68"/>
      <c r="X15" s="68"/>
      <c r="Y15" s="68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</row>
    <row r="16" spans="1:98" s="5" customFormat="1" ht="21.95" customHeight="1" x14ac:dyDescent="0.25">
      <c r="A16" s="97"/>
      <c r="B16" s="98"/>
      <c r="C16" s="37" t="s">
        <v>8</v>
      </c>
      <c r="D16" s="38"/>
      <c r="E16" s="42">
        <f t="shared" si="4"/>
        <v>265.89999999999998</v>
      </c>
      <c r="F16" s="40" t="str">
        <f>IF(E16="","",IF(AND(E16&gt;200,RANK(E16,$E$11:$E$16)&lt;=2),"TARGET",""))</f>
        <v/>
      </c>
      <c r="G16" s="41">
        <f t="shared" si="5"/>
        <v>286.7</v>
      </c>
      <c r="H16" s="44">
        <f t="shared" si="6"/>
        <v>7.8224896577660825</v>
      </c>
      <c r="I16" s="41"/>
      <c r="J16" s="44" t="str">
        <f t="shared" si="7"/>
        <v/>
      </c>
      <c r="K16" s="41"/>
      <c r="L16" s="44" t="str">
        <f t="shared" si="8"/>
        <v/>
      </c>
      <c r="M16" s="33"/>
      <c r="N16" s="41">
        <f>IF(E16="","",E16)</f>
        <v>265.89999999999998</v>
      </c>
      <c r="O16" s="41"/>
      <c r="P16" s="44" t="str">
        <f t="shared" si="9"/>
        <v/>
      </c>
      <c r="Q16" s="41"/>
      <c r="R16" s="44" t="str">
        <f t="shared" si="10"/>
        <v/>
      </c>
      <c r="S16" s="41"/>
      <c r="T16" s="44" t="str">
        <f t="shared" si="11"/>
        <v/>
      </c>
      <c r="V16" s="69" t="s">
        <v>31</v>
      </c>
      <c r="W16" s="68"/>
      <c r="X16" s="68"/>
      <c r="Y16" s="68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</row>
    <row r="17" spans="1:98" s="6" customFormat="1" x14ac:dyDescent="0.25">
      <c r="A17" s="21"/>
      <c r="B17" s="21"/>
      <c r="C17" s="49"/>
      <c r="D17" s="22"/>
      <c r="E17" s="23"/>
      <c r="F17" s="23"/>
      <c r="G17" s="24"/>
      <c r="H17" s="25"/>
      <c r="I17" s="26"/>
      <c r="J17" s="26"/>
      <c r="K17" s="26"/>
      <c r="L17" s="25"/>
      <c r="M17" s="27"/>
      <c r="N17" s="27"/>
      <c r="O17" s="27"/>
      <c r="P17" s="27"/>
      <c r="Q17" s="27"/>
      <c r="R17" s="27"/>
      <c r="S17" s="27"/>
      <c r="T17" s="43"/>
      <c r="V17" s="69" t="s">
        <v>29</v>
      </c>
      <c r="W17" s="69" t="s">
        <v>35</v>
      </c>
      <c r="X17" s="69" t="s">
        <v>37</v>
      </c>
      <c r="Y17" s="69" t="s">
        <v>30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</row>
    <row r="18" spans="1:98" s="5" customFormat="1" ht="29.45" customHeight="1" x14ac:dyDescent="0.25">
      <c r="A18" s="99" t="s">
        <v>14</v>
      </c>
      <c r="B18" s="100"/>
      <c r="C18" s="101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V18" s="68" t="str">
        <f>C25</f>
        <v>A_Right Hallux</v>
      </c>
      <c r="W18" s="68">
        <f>E25</f>
        <v>339.3</v>
      </c>
      <c r="X18" s="68">
        <f>G25</f>
        <v>339.3</v>
      </c>
      <c r="Y18" s="68">
        <f>$Y$5</f>
        <v>200</v>
      </c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</row>
    <row r="19" spans="1:98" s="5" customFormat="1" x14ac:dyDescent="0.25">
      <c r="A19" s="19"/>
      <c r="B19" s="19"/>
      <c r="C19" s="28"/>
      <c r="D19" s="28"/>
      <c r="E19" s="29"/>
      <c r="F19" s="29"/>
      <c r="G19" s="20"/>
      <c r="H19" s="30"/>
      <c r="I19" s="31"/>
      <c r="J19" s="31"/>
      <c r="K19" s="31"/>
      <c r="L19" s="30"/>
      <c r="M19" s="30"/>
      <c r="N19" s="30"/>
      <c r="O19" s="30"/>
      <c r="P19" s="30"/>
      <c r="Q19" s="30"/>
      <c r="R19" s="30"/>
      <c r="S19" s="30"/>
      <c r="T19" s="32"/>
      <c r="V19" s="68" t="str">
        <f t="shared" ref="V19:V23" si="12">C26</f>
        <v>B_Right Metatarsal 1</v>
      </c>
      <c r="W19" s="68">
        <f t="shared" ref="W19:W23" si="13">E26</f>
        <v>242.5</v>
      </c>
      <c r="X19" s="68">
        <f t="shared" ref="X19:X23" si="14">G26</f>
        <v>288.7</v>
      </c>
      <c r="Y19" s="68">
        <f t="shared" ref="Y19:Y23" si="15">$Y$5</f>
        <v>200</v>
      </c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</row>
    <row r="20" spans="1:98" s="10" customFormat="1" x14ac:dyDescent="0.25">
      <c r="A20"/>
      <c r="B20"/>
      <c r="C20"/>
      <c r="D20"/>
      <c r="E20"/>
      <c r="F20"/>
      <c r="G20" s="4"/>
      <c r="H20"/>
      <c r="I20" s="2"/>
      <c r="J20" s="2"/>
      <c r="K20" s="2"/>
      <c r="L20"/>
      <c r="M20"/>
      <c r="N20"/>
      <c r="O20"/>
      <c r="P20"/>
      <c r="Q20"/>
      <c r="R20"/>
      <c r="S20"/>
      <c r="T20"/>
      <c r="V20" s="68" t="str">
        <f t="shared" si="12"/>
        <v>C_Right  Meta 2-3</v>
      </c>
      <c r="W20" s="68">
        <f t="shared" si="13"/>
        <v>195.6</v>
      </c>
      <c r="X20" s="68">
        <f t="shared" si="14"/>
        <v>157.69999999999999</v>
      </c>
      <c r="Y20" s="68">
        <f t="shared" si="15"/>
        <v>200</v>
      </c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</row>
    <row r="21" spans="1:98" s="10" customFormat="1" x14ac:dyDescent="0.25">
      <c r="A21"/>
      <c r="B21"/>
      <c r="C21"/>
      <c r="D21"/>
      <c r="E21"/>
      <c r="F21"/>
      <c r="G21" s="4"/>
      <c r="H21"/>
      <c r="I21" s="2"/>
      <c r="J21" s="2"/>
      <c r="K21" s="2"/>
      <c r="L21"/>
      <c r="M21"/>
      <c r="N21"/>
      <c r="O21"/>
      <c r="P21"/>
      <c r="Q21"/>
      <c r="R21"/>
      <c r="S21"/>
      <c r="T21"/>
      <c r="V21" s="68" t="str">
        <f t="shared" si="12"/>
        <v>D_Right Meta 4-5</v>
      </c>
      <c r="W21" s="68">
        <f t="shared" si="13"/>
        <v>162.30000000000001</v>
      </c>
      <c r="X21" s="68">
        <f t="shared" si="14"/>
        <v>118.8</v>
      </c>
      <c r="Y21" s="68">
        <f t="shared" si="15"/>
        <v>200</v>
      </c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</row>
    <row r="22" spans="1:98" s="5" customFormat="1" ht="14.45" customHeight="1" x14ac:dyDescent="0.25">
      <c r="A22"/>
      <c r="B22"/>
      <c r="C22"/>
      <c r="D22" s="85" t="s">
        <v>130</v>
      </c>
      <c r="E22" s="86"/>
      <c r="F22" s="86"/>
      <c r="G22" s="86"/>
      <c r="H22" s="86"/>
      <c r="I22" s="86"/>
      <c r="J22" s="86"/>
      <c r="K22" s="86"/>
      <c r="L22" s="87"/>
      <c r="M22"/>
      <c r="N22" s="85" t="s">
        <v>131</v>
      </c>
      <c r="O22" s="86"/>
      <c r="P22" s="86"/>
      <c r="Q22" s="86"/>
      <c r="R22" s="86"/>
      <c r="S22" s="86"/>
      <c r="T22" s="87"/>
      <c r="V22" s="68" t="str">
        <f t="shared" si="12"/>
        <v>E_Right_Midfoot</v>
      </c>
      <c r="W22" s="68">
        <f t="shared" si="13"/>
        <v>301.39999999999998</v>
      </c>
      <c r="X22" s="68">
        <f t="shared" si="14"/>
        <v>339.3</v>
      </c>
      <c r="Y22" s="68">
        <f t="shared" si="15"/>
        <v>200</v>
      </c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</row>
    <row r="23" spans="1:98" s="5" customFormat="1" ht="24" customHeight="1" x14ac:dyDescent="0.25">
      <c r="A23" s="93" t="s">
        <v>11</v>
      </c>
      <c r="B23" s="94"/>
      <c r="C23" s="34"/>
      <c r="D23" s="35"/>
      <c r="E23" s="61" t="s">
        <v>35</v>
      </c>
      <c r="F23" s="62" t="s">
        <v>24</v>
      </c>
      <c r="G23" s="88" t="s">
        <v>37</v>
      </c>
      <c r="H23" s="89"/>
      <c r="I23" s="88" t="s">
        <v>38</v>
      </c>
      <c r="J23" s="89"/>
      <c r="K23" s="88" t="s">
        <v>39</v>
      </c>
      <c r="L23" s="89"/>
      <c r="M23" s="63"/>
      <c r="N23" s="60" t="s">
        <v>132</v>
      </c>
      <c r="O23" s="88" t="s">
        <v>37</v>
      </c>
      <c r="P23" s="89"/>
      <c r="Q23" s="88" t="s">
        <v>38</v>
      </c>
      <c r="R23" s="89"/>
      <c r="S23" s="88" t="s">
        <v>39</v>
      </c>
      <c r="T23" s="89"/>
      <c r="V23" s="68" t="str">
        <f t="shared" si="12"/>
        <v>F_Right Heel</v>
      </c>
      <c r="W23" s="68">
        <f t="shared" si="13"/>
        <v>322.3</v>
      </c>
      <c r="X23" s="68">
        <f t="shared" si="14"/>
        <v>336.6</v>
      </c>
      <c r="Y23" s="68">
        <f t="shared" si="15"/>
        <v>200</v>
      </c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</row>
    <row r="24" spans="1:98" s="5" customFormat="1" ht="30" customHeight="1" x14ac:dyDescent="0.25">
      <c r="A24" s="95"/>
      <c r="B24" s="96"/>
      <c r="C24" s="34"/>
      <c r="D24" s="35"/>
      <c r="E24" s="36" t="s">
        <v>10</v>
      </c>
      <c r="F24" s="36" t="s">
        <v>134</v>
      </c>
      <c r="G24" s="36" t="s">
        <v>10</v>
      </c>
      <c r="H24" s="36" t="s">
        <v>34</v>
      </c>
      <c r="I24" s="36" t="s">
        <v>10</v>
      </c>
      <c r="J24" s="36" t="s">
        <v>34</v>
      </c>
      <c r="K24" s="36" t="s">
        <v>10</v>
      </c>
      <c r="L24" s="36" t="s">
        <v>34</v>
      </c>
      <c r="M24" s="63"/>
      <c r="N24" s="36" t="s">
        <v>10</v>
      </c>
      <c r="O24" s="36" t="s">
        <v>10</v>
      </c>
      <c r="P24" s="36" t="s">
        <v>133</v>
      </c>
      <c r="Q24" s="36" t="s">
        <v>10</v>
      </c>
      <c r="R24" s="36" t="s">
        <v>133</v>
      </c>
      <c r="S24" s="36" t="s">
        <v>10</v>
      </c>
      <c r="T24" s="36" t="s">
        <v>133</v>
      </c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</row>
    <row r="25" spans="1:98" s="5" customFormat="1" ht="21.95" customHeight="1" x14ac:dyDescent="0.25">
      <c r="A25" s="95"/>
      <c r="B25" s="96"/>
      <c r="C25" s="37" t="s">
        <v>0</v>
      </c>
      <c r="D25" s="38"/>
      <c r="E25" s="39">
        <f t="shared" ref="E25:E30" si="16">IF(J43="","",J43)</f>
        <v>339.3</v>
      </c>
      <c r="F25" s="40" t="str">
        <f>IF(E25="","",IF(AND(E25&gt;200,RANK(E25,$E$25:$E$30)&lt;=2),"TARGET",""))</f>
        <v>TARGET</v>
      </c>
      <c r="G25" s="41">
        <f t="shared" ref="G25:G30" si="17">IF(J60="","",J60)</f>
        <v>339.3</v>
      </c>
      <c r="H25" s="44">
        <f t="shared" ref="H25:H30" si="18">IF(OR($E25="",G25=""),"",((G25-$E25)/$E25)*100)</f>
        <v>0</v>
      </c>
      <c r="I25" s="41"/>
      <c r="J25" s="44" t="str">
        <f t="shared" ref="J25:J30" si="19">IF(OR($E25="",I25=""),"",((I25-$E25)/$E25)*100)</f>
        <v/>
      </c>
      <c r="K25" s="41"/>
      <c r="L25" s="44" t="str">
        <f t="shared" ref="L25:L30" si="20">IF(OR($E25="",K25=""),"",((K25-$E25)/$E25)*100)</f>
        <v/>
      </c>
      <c r="M25" s="33"/>
      <c r="N25" s="41">
        <f>IF(E25="","",E25)</f>
        <v>339.3</v>
      </c>
      <c r="O25" s="41"/>
      <c r="P25" s="44" t="str">
        <f t="shared" ref="P25:P30" si="21">IF(OR($N25="",O25=""),"",((O25-$N25)/$N25)*100)</f>
        <v/>
      </c>
      <c r="Q25" s="41"/>
      <c r="R25" s="44" t="str">
        <f t="shared" ref="R25:R30" si="22">IF(OR($N25="",Q25=""),"",((Q25-$N25)/$N25)*100)</f>
        <v/>
      </c>
      <c r="S25" s="41"/>
      <c r="T25" s="44" t="str">
        <f t="shared" ref="T25:T30" si="23">IF(OR($N25="",S25=""),"",((S25-$N25)/$N25)*100)</f>
        <v/>
      </c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</row>
    <row r="26" spans="1:98" s="5" customFormat="1" ht="21.95" customHeight="1" x14ac:dyDescent="0.25">
      <c r="A26" s="95"/>
      <c r="B26" s="96"/>
      <c r="C26" s="37" t="s">
        <v>17</v>
      </c>
      <c r="D26" s="38"/>
      <c r="E26" s="39">
        <f t="shared" si="16"/>
        <v>242.5</v>
      </c>
      <c r="F26" s="40" t="str">
        <f>IF(E26="","",IF(AND(E26&gt;200,RANK(E26,$E$25:$E$30)&lt;=2),"TARGET",""))</f>
        <v/>
      </c>
      <c r="G26" s="41">
        <f t="shared" si="17"/>
        <v>288.7</v>
      </c>
      <c r="H26" s="44">
        <f t="shared" si="18"/>
        <v>19.051546391752574</v>
      </c>
      <c r="I26" s="41"/>
      <c r="J26" s="44" t="str">
        <f t="shared" si="19"/>
        <v/>
      </c>
      <c r="K26" s="41"/>
      <c r="L26" s="44" t="str">
        <f t="shared" si="20"/>
        <v/>
      </c>
      <c r="M26" s="33"/>
      <c r="N26" s="41">
        <f>IF(E26="","",E26)</f>
        <v>242.5</v>
      </c>
      <c r="O26" s="41"/>
      <c r="P26" s="44" t="str">
        <f t="shared" si="21"/>
        <v/>
      </c>
      <c r="Q26" s="41"/>
      <c r="R26" s="44" t="str">
        <f t="shared" si="22"/>
        <v/>
      </c>
      <c r="S26" s="41"/>
      <c r="T26" s="44" t="str">
        <f t="shared" si="23"/>
        <v/>
      </c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</row>
    <row r="27" spans="1:98" s="5" customFormat="1" ht="21.95" customHeight="1" x14ac:dyDescent="0.25">
      <c r="A27" s="95"/>
      <c r="B27" s="96"/>
      <c r="C27" s="37" t="s">
        <v>18</v>
      </c>
      <c r="D27" s="38"/>
      <c r="E27" s="39">
        <f t="shared" si="16"/>
        <v>195.6</v>
      </c>
      <c r="F27" s="40" t="str">
        <f>IF(E27="","",IF(AND(E27&gt;200,RANK(E27,$E$25:$E$30)&lt;=2),"TARGET",""))</f>
        <v/>
      </c>
      <c r="G27" s="41">
        <f t="shared" si="17"/>
        <v>157.69999999999999</v>
      </c>
      <c r="H27" s="44">
        <f t="shared" si="18"/>
        <v>-19.37627811860941</v>
      </c>
      <c r="I27" s="41"/>
      <c r="J27" s="44" t="str">
        <f t="shared" si="19"/>
        <v/>
      </c>
      <c r="K27" s="41"/>
      <c r="L27" s="44" t="str">
        <f t="shared" si="20"/>
        <v/>
      </c>
      <c r="M27" s="33"/>
      <c r="N27" s="41">
        <f>IF(E27="","",E27)</f>
        <v>195.6</v>
      </c>
      <c r="O27" s="41"/>
      <c r="P27" s="44" t="str">
        <f t="shared" si="21"/>
        <v/>
      </c>
      <c r="Q27" s="41"/>
      <c r="R27" s="44" t="str">
        <f t="shared" si="22"/>
        <v/>
      </c>
      <c r="S27" s="41"/>
      <c r="T27" s="44" t="str">
        <f t="shared" si="23"/>
        <v/>
      </c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</row>
    <row r="28" spans="1:98" s="5" customFormat="1" ht="21.95" customHeight="1" x14ac:dyDescent="0.25">
      <c r="A28" s="95"/>
      <c r="B28" s="96"/>
      <c r="C28" s="37" t="s">
        <v>1</v>
      </c>
      <c r="D28" s="38"/>
      <c r="E28" s="42">
        <f t="shared" si="16"/>
        <v>162.30000000000001</v>
      </c>
      <c r="F28" s="40" t="str">
        <f>IF(E28="","",IF(AND(E28&gt;200,RANK(E28,$E$25:$E$30)&lt;=2),"TARGET",""))</f>
        <v/>
      </c>
      <c r="G28" s="41">
        <f t="shared" si="17"/>
        <v>118.8</v>
      </c>
      <c r="H28" s="44">
        <f t="shared" si="18"/>
        <v>-26.802218114602596</v>
      </c>
      <c r="I28" s="41"/>
      <c r="J28" s="44" t="str">
        <f t="shared" si="19"/>
        <v/>
      </c>
      <c r="K28" s="41"/>
      <c r="L28" s="44" t="str">
        <f t="shared" si="20"/>
        <v/>
      </c>
      <c r="M28" s="33"/>
      <c r="N28" s="41">
        <f>IF(E28="","",E28)</f>
        <v>162.30000000000001</v>
      </c>
      <c r="O28" s="41"/>
      <c r="P28" s="44" t="str">
        <f t="shared" si="21"/>
        <v/>
      </c>
      <c r="Q28" s="41"/>
      <c r="R28" s="44" t="str">
        <f t="shared" si="22"/>
        <v/>
      </c>
      <c r="S28" s="41"/>
      <c r="T28" s="44" t="str">
        <f t="shared" si="23"/>
        <v/>
      </c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</row>
    <row r="29" spans="1:98" s="5" customFormat="1" ht="21.95" customHeight="1" x14ac:dyDescent="0.25">
      <c r="A29" s="95"/>
      <c r="B29" s="96"/>
      <c r="C29" s="37" t="s">
        <v>19</v>
      </c>
      <c r="D29" s="38"/>
      <c r="E29" s="42">
        <f t="shared" si="16"/>
        <v>301.39999999999998</v>
      </c>
      <c r="F29" s="40" t="str">
        <f>IF(E29="","",IF(AND(E29&gt;200,RANK(E29,$E$25:$E$30)&lt;=2),"TARGET",""))</f>
        <v/>
      </c>
      <c r="G29" s="41">
        <f t="shared" si="17"/>
        <v>339.3</v>
      </c>
      <c r="H29" s="44">
        <f t="shared" si="18"/>
        <v>12.574651625746528</v>
      </c>
      <c r="I29" s="41"/>
      <c r="J29" s="44" t="str">
        <f t="shared" si="19"/>
        <v/>
      </c>
      <c r="K29" s="41"/>
      <c r="L29" s="44" t="str">
        <f t="shared" si="20"/>
        <v/>
      </c>
      <c r="M29" s="33"/>
      <c r="N29" s="41">
        <f>IF(E29="","",E29)</f>
        <v>301.39999999999998</v>
      </c>
      <c r="O29" s="41"/>
      <c r="P29" s="44" t="str">
        <f t="shared" si="21"/>
        <v/>
      </c>
      <c r="Q29" s="41"/>
      <c r="R29" s="44" t="str">
        <f t="shared" si="22"/>
        <v/>
      </c>
      <c r="S29" s="41"/>
      <c r="T29" s="44" t="str">
        <f t="shared" si="23"/>
        <v/>
      </c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</row>
    <row r="30" spans="1:98" s="5" customFormat="1" ht="21.95" customHeight="1" x14ac:dyDescent="0.25">
      <c r="A30" s="97"/>
      <c r="B30" s="98"/>
      <c r="C30" s="37" t="s">
        <v>2</v>
      </c>
      <c r="D30" s="38"/>
      <c r="E30" s="42">
        <f t="shared" si="16"/>
        <v>322.3</v>
      </c>
      <c r="F30" s="40" t="str">
        <f>IF(E30="","",IF(AND(E30&gt;200,RANK(E30,$E$25:$E$30)&lt;=2),"TARGET",""))</f>
        <v>TARGET</v>
      </c>
      <c r="G30" s="41">
        <f t="shared" si="17"/>
        <v>336.6</v>
      </c>
      <c r="H30" s="44">
        <f t="shared" si="18"/>
        <v>4.4368600682593895</v>
      </c>
      <c r="I30" s="41"/>
      <c r="J30" s="44" t="str">
        <f t="shared" si="19"/>
        <v/>
      </c>
      <c r="K30" s="41"/>
      <c r="L30" s="44" t="str">
        <f t="shared" si="20"/>
        <v/>
      </c>
      <c r="M30" s="33"/>
      <c r="N30" s="41">
        <f>IF(E30="","",E30)</f>
        <v>322.3</v>
      </c>
      <c r="O30" s="41"/>
      <c r="P30" s="44" t="str">
        <f t="shared" si="21"/>
        <v/>
      </c>
      <c r="Q30" s="41"/>
      <c r="R30" s="44" t="str">
        <f t="shared" si="22"/>
        <v/>
      </c>
      <c r="S30" s="41"/>
      <c r="T30" s="44" t="str">
        <f t="shared" si="23"/>
        <v/>
      </c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</row>
    <row r="31" spans="1:98" s="6" customFormat="1" x14ac:dyDescent="0.25">
      <c r="A31" s="21"/>
      <c r="B31" s="21"/>
      <c r="C31" s="49"/>
      <c r="D31" s="22"/>
      <c r="E31" s="23"/>
      <c r="F31" s="23"/>
      <c r="G31" s="24"/>
      <c r="H31" s="25"/>
      <c r="I31" s="26"/>
      <c r="J31" s="26"/>
      <c r="K31" s="26"/>
      <c r="L31" s="25"/>
      <c r="M31" s="27"/>
      <c r="N31" s="27"/>
      <c r="O31" s="27"/>
      <c r="P31" s="27"/>
      <c r="Q31" s="27"/>
      <c r="R31" s="27"/>
      <c r="S31" s="27"/>
      <c r="T31" s="27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 s="5" customFormat="1" ht="29.45" customHeight="1" x14ac:dyDescent="0.25">
      <c r="A32" s="99" t="s">
        <v>15</v>
      </c>
      <c r="B32" s="100"/>
      <c r="C32" s="101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3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</row>
    <row r="33" spans="1:98" s="5" customFormat="1" x14ac:dyDescent="0.25">
      <c r="A33" s="19"/>
      <c r="B33" s="19"/>
      <c r="C33" s="28"/>
      <c r="D33" s="28"/>
      <c r="E33" s="29"/>
      <c r="F33" s="29"/>
      <c r="G33" s="20"/>
      <c r="H33" s="30"/>
      <c r="I33" s="31"/>
      <c r="J33" s="31"/>
      <c r="K33" s="31"/>
      <c r="L33" s="30"/>
      <c r="M33" s="30"/>
      <c r="N33" s="30"/>
      <c r="O33" s="30"/>
      <c r="P33" s="30"/>
      <c r="Q33" s="30"/>
      <c r="R33" s="30"/>
      <c r="S33" s="30"/>
      <c r="T33" s="30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</row>
    <row r="35" spans="1:98" ht="15.75" x14ac:dyDescent="0.25">
      <c r="A35" s="46" t="s">
        <v>16</v>
      </c>
    </row>
    <row r="36" spans="1:98" x14ac:dyDescent="0.25">
      <c r="A36" s="54"/>
      <c r="B36" s="48"/>
      <c r="C36" s="48"/>
      <c r="D36" s="48"/>
      <c r="E36" s="48"/>
      <c r="F36" s="48"/>
      <c r="G36" s="50"/>
      <c r="H36" s="48"/>
      <c r="I36" s="47"/>
      <c r="J36" s="47"/>
      <c r="K36" s="47"/>
      <c r="L36" s="48"/>
      <c r="M36" s="48"/>
      <c r="N36" s="48"/>
      <c r="O36" s="48"/>
      <c r="P36" s="48"/>
      <c r="Q36" s="48"/>
      <c r="R36" s="48"/>
      <c r="S36" s="48"/>
      <c r="T36" s="48"/>
    </row>
    <row r="37" spans="1:98" s="8" customFormat="1" x14ac:dyDescent="0.25">
      <c r="A37" s="55" t="s">
        <v>135</v>
      </c>
      <c r="B37" s="51"/>
      <c r="C37" s="51"/>
      <c r="D37" s="51"/>
      <c r="E37" s="51"/>
      <c r="F37" s="51"/>
      <c r="G37" s="52"/>
      <c r="H37" s="51"/>
      <c r="I37" s="53"/>
      <c r="J37" s="53"/>
      <c r="K37" s="53"/>
      <c r="L37" s="51"/>
      <c r="M37" s="51"/>
      <c r="N37" s="51"/>
      <c r="O37" s="51"/>
      <c r="P37" s="51"/>
      <c r="Q37" s="51"/>
      <c r="R37" s="51"/>
      <c r="S37" s="51"/>
      <c r="T37" s="51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</row>
    <row r="38" spans="1:98" x14ac:dyDescent="0.25">
      <c r="A38" s="54"/>
      <c r="B38" s="48"/>
      <c r="C38" s="48"/>
      <c r="D38" s="48"/>
      <c r="E38" s="48"/>
      <c r="F38" s="48"/>
      <c r="G38" s="50"/>
      <c r="H38" s="48"/>
      <c r="I38" s="47"/>
      <c r="J38" s="47"/>
      <c r="K38" s="47"/>
      <c r="L38" s="48"/>
      <c r="M38" s="48"/>
      <c r="N38" s="48"/>
      <c r="O38" s="48"/>
      <c r="P38" s="48"/>
      <c r="Q38" s="48"/>
      <c r="R38" s="48"/>
      <c r="S38" s="48"/>
      <c r="T38" s="48"/>
    </row>
    <row r="39" spans="1:98" x14ac:dyDescent="0.25">
      <c r="A39" s="56" t="s">
        <v>136</v>
      </c>
      <c r="B39" s="51"/>
      <c r="C39" s="51"/>
      <c r="D39" s="51"/>
      <c r="E39" s="51"/>
      <c r="F39" s="51"/>
      <c r="G39" s="52"/>
      <c r="H39" s="51"/>
      <c r="I39" s="53"/>
      <c r="J39" s="53"/>
      <c r="K39" s="53"/>
      <c r="L39" s="51"/>
      <c r="M39" s="51"/>
      <c r="N39" s="51"/>
      <c r="O39" s="51"/>
      <c r="P39" s="48"/>
      <c r="Q39" s="48"/>
      <c r="R39" s="48"/>
      <c r="S39" s="48"/>
      <c r="T39" s="48"/>
    </row>
    <row r="41" spans="1:98" ht="15.75" x14ac:dyDescent="0.25">
      <c r="A41" s="46" t="s">
        <v>27</v>
      </c>
    </row>
    <row r="42" spans="1:98" ht="45" x14ac:dyDescent="0.25">
      <c r="A42" s="45" t="s">
        <v>36</v>
      </c>
      <c r="B42" s="1"/>
      <c r="C42" s="1"/>
      <c r="D42" s="1"/>
      <c r="E42" s="1"/>
      <c r="F42" s="1"/>
      <c r="G42" s="1"/>
      <c r="H42" s="1"/>
      <c r="I42" s="1"/>
      <c r="J42" s="11" t="s">
        <v>10</v>
      </c>
    </row>
    <row r="43" spans="1:98" ht="30" x14ac:dyDescent="0.25">
      <c r="A43" s="1"/>
      <c r="B43" s="1"/>
      <c r="C43" s="1" t="s">
        <v>0</v>
      </c>
      <c r="D43" s="1" t="s">
        <v>20</v>
      </c>
      <c r="E43" s="1"/>
      <c r="F43" s="1">
        <v>282.5</v>
      </c>
      <c r="G43" s="1">
        <v>2.44</v>
      </c>
      <c r="H43" s="1">
        <v>179.4</v>
      </c>
      <c r="I43" s="1">
        <v>35</v>
      </c>
      <c r="J43" s="1">
        <v>339.3</v>
      </c>
    </row>
    <row r="44" spans="1:98" ht="30" x14ac:dyDescent="0.25">
      <c r="A44" s="1"/>
      <c r="B44" s="1"/>
      <c r="C44" s="1" t="s">
        <v>21</v>
      </c>
      <c r="D44" s="1" t="s">
        <v>20</v>
      </c>
      <c r="E44" s="1"/>
      <c r="F44" s="1">
        <v>244</v>
      </c>
      <c r="G44" s="1">
        <v>3.08</v>
      </c>
      <c r="H44" s="1">
        <v>122.8</v>
      </c>
      <c r="I44" s="1">
        <v>25</v>
      </c>
      <c r="J44" s="1">
        <v>242.5</v>
      </c>
    </row>
    <row r="45" spans="1:98" ht="30" x14ac:dyDescent="0.25">
      <c r="A45" s="1"/>
      <c r="B45" s="1"/>
      <c r="C45" s="1" t="s">
        <v>22</v>
      </c>
      <c r="D45" s="1" t="s">
        <v>20</v>
      </c>
      <c r="E45" s="1"/>
      <c r="F45" s="1">
        <v>224.8</v>
      </c>
      <c r="G45" s="1">
        <v>2.88</v>
      </c>
      <c r="H45" s="1">
        <v>121</v>
      </c>
      <c r="I45" s="1">
        <v>20.2</v>
      </c>
      <c r="J45" s="1">
        <v>195.6</v>
      </c>
    </row>
    <row r="46" spans="1:98" ht="30" x14ac:dyDescent="0.25">
      <c r="A46" s="1"/>
      <c r="B46" s="1"/>
      <c r="C46" s="1" t="s">
        <v>1</v>
      </c>
      <c r="D46" s="1" t="s">
        <v>20</v>
      </c>
      <c r="E46" s="1"/>
      <c r="F46" s="1">
        <v>186.2</v>
      </c>
      <c r="G46" s="1">
        <v>3.2</v>
      </c>
      <c r="H46" s="1">
        <v>90.2</v>
      </c>
      <c r="I46" s="1">
        <v>16.8</v>
      </c>
      <c r="J46" s="1">
        <v>162.30000000000001</v>
      </c>
    </row>
    <row r="47" spans="1:98" ht="30" x14ac:dyDescent="0.25">
      <c r="A47" s="1"/>
      <c r="B47" s="1"/>
      <c r="C47" s="1" t="s">
        <v>23</v>
      </c>
      <c r="D47" s="1" t="s">
        <v>20</v>
      </c>
      <c r="E47" s="1"/>
      <c r="F47" s="1">
        <v>750.8</v>
      </c>
      <c r="G47" s="1">
        <v>10.64</v>
      </c>
      <c r="H47" s="1">
        <v>109.4</v>
      </c>
      <c r="I47" s="1">
        <v>31.1</v>
      </c>
      <c r="J47" s="1">
        <v>301.39999999999998</v>
      </c>
    </row>
    <row r="48" spans="1:98" ht="30" x14ac:dyDescent="0.25">
      <c r="A48" s="1"/>
      <c r="B48" s="1"/>
      <c r="C48" s="1" t="s">
        <v>2</v>
      </c>
      <c r="D48" s="1" t="s">
        <v>20</v>
      </c>
      <c r="E48" s="1"/>
      <c r="F48" s="1">
        <v>819.2</v>
      </c>
      <c r="G48" s="1">
        <v>7.24</v>
      </c>
      <c r="H48" s="1">
        <v>175.4</v>
      </c>
      <c r="I48" s="1">
        <v>33.299999999999997</v>
      </c>
      <c r="J48" s="1">
        <v>322.3</v>
      </c>
    </row>
    <row r="49" spans="1:10" x14ac:dyDescent="0.25">
      <c r="B49" s="1"/>
      <c r="C49" s="1"/>
      <c r="D49" s="1"/>
      <c r="E49" s="1"/>
      <c r="F49" s="1"/>
      <c r="G49" s="1"/>
      <c r="H49" s="1"/>
      <c r="I49" s="1"/>
    </row>
    <row r="50" spans="1:10" x14ac:dyDescent="0.25">
      <c r="B50" s="1"/>
      <c r="C50" s="1"/>
      <c r="D50" s="1"/>
      <c r="E50" s="1"/>
      <c r="F50" s="1"/>
      <c r="G50" s="1"/>
      <c r="H50" s="1"/>
      <c r="I50" s="1"/>
    </row>
    <row r="51" spans="1:10" ht="30" x14ac:dyDescent="0.25">
      <c r="B51" s="1"/>
      <c r="C51" s="1" t="s">
        <v>3</v>
      </c>
      <c r="D51" s="1" t="s">
        <v>20</v>
      </c>
      <c r="E51" s="1"/>
      <c r="F51" s="1">
        <v>317.2</v>
      </c>
      <c r="G51" s="1">
        <v>2.72</v>
      </c>
      <c r="H51" s="1">
        <v>180.8</v>
      </c>
      <c r="I51" s="1">
        <v>42.9</v>
      </c>
      <c r="J51" s="1">
        <v>415.3</v>
      </c>
    </row>
    <row r="52" spans="1:10" ht="30" x14ac:dyDescent="0.25">
      <c r="B52" s="1"/>
      <c r="C52" s="1" t="s">
        <v>4</v>
      </c>
      <c r="D52" s="1" t="s">
        <v>20</v>
      </c>
      <c r="E52" s="1"/>
      <c r="F52" s="1">
        <v>265.39999999999998</v>
      </c>
      <c r="G52" s="1">
        <v>2.48</v>
      </c>
      <c r="H52" s="1">
        <v>165.9</v>
      </c>
      <c r="I52" s="1">
        <v>42.9</v>
      </c>
      <c r="J52" s="1">
        <v>415.3</v>
      </c>
    </row>
    <row r="53" spans="1:10" ht="30" x14ac:dyDescent="0.25">
      <c r="B53" s="1"/>
      <c r="C53" s="1" t="s">
        <v>5</v>
      </c>
      <c r="D53" s="1" t="s">
        <v>20</v>
      </c>
      <c r="E53" s="1"/>
      <c r="F53" s="1">
        <v>282.89999999999998</v>
      </c>
      <c r="G53" s="1">
        <v>2.88</v>
      </c>
      <c r="H53" s="1">
        <v>152.19999999999999</v>
      </c>
      <c r="I53" s="1">
        <v>25.6</v>
      </c>
      <c r="J53" s="1">
        <v>247.6</v>
      </c>
    </row>
    <row r="54" spans="1:10" ht="30" x14ac:dyDescent="0.25">
      <c r="C54" s="1" t="s">
        <v>6</v>
      </c>
      <c r="D54" s="1" t="s">
        <v>20</v>
      </c>
      <c r="E54" s="1"/>
      <c r="F54" s="1">
        <v>184.9</v>
      </c>
      <c r="G54" s="1">
        <v>3.64</v>
      </c>
      <c r="H54" s="1">
        <v>78.7</v>
      </c>
      <c r="I54" s="1">
        <v>18.100000000000001</v>
      </c>
      <c r="J54" s="1">
        <v>175.5</v>
      </c>
    </row>
    <row r="55" spans="1:10" ht="30" x14ac:dyDescent="0.25">
      <c r="C55" s="1" t="s">
        <v>7</v>
      </c>
      <c r="D55" s="1" t="s">
        <v>20</v>
      </c>
      <c r="E55" s="1"/>
      <c r="F55" s="1">
        <v>492</v>
      </c>
      <c r="G55" s="1">
        <v>9.0399999999999991</v>
      </c>
      <c r="H55" s="1">
        <v>84.4</v>
      </c>
      <c r="I55" s="1">
        <v>17.399999999999999</v>
      </c>
      <c r="J55" s="1">
        <v>168.6</v>
      </c>
    </row>
    <row r="56" spans="1:10" ht="30" x14ac:dyDescent="0.25">
      <c r="C56" s="1" t="s">
        <v>8</v>
      </c>
      <c r="D56" s="1" t="s">
        <v>20</v>
      </c>
      <c r="E56" s="1"/>
      <c r="F56" s="1">
        <v>722.4</v>
      </c>
      <c r="G56" s="1">
        <v>7.32</v>
      </c>
      <c r="H56" s="1">
        <v>153</v>
      </c>
      <c r="I56" s="1">
        <v>27.4</v>
      </c>
      <c r="J56" s="1">
        <v>265.89999999999998</v>
      </c>
    </row>
    <row r="58" spans="1:10" ht="15.75" x14ac:dyDescent="0.25">
      <c r="A58" s="46" t="s">
        <v>27</v>
      </c>
    </row>
    <row r="59" spans="1:10" x14ac:dyDescent="0.25">
      <c r="A59" s="45" t="s">
        <v>40</v>
      </c>
      <c r="J59" s="12" t="s">
        <v>10</v>
      </c>
    </row>
    <row r="60" spans="1:10" ht="30" x14ac:dyDescent="0.25">
      <c r="C60" s="1" t="s">
        <v>0</v>
      </c>
      <c r="D60" s="1" t="s">
        <v>20</v>
      </c>
      <c r="E60" s="1"/>
      <c r="F60" s="1">
        <v>283.3</v>
      </c>
      <c r="G60" s="1">
        <v>2.56</v>
      </c>
      <c r="H60" s="1">
        <v>171.5</v>
      </c>
      <c r="I60" s="1">
        <v>35</v>
      </c>
      <c r="J60" s="1">
        <v>339.3</v>
      </c>
    </row>
    <row r="61" spans="1:10" ht="30" x14ac:dyDescent="0.25">
      <c r="C61" s="1" t="s">
        <v>21</v>
      </c>
      <c r="D61" s="1" t="s">
        <v>20</v>
      </c>
      <c r="E61" s="1"/>
      <c r="F61" s="1">
        <v>190.6</v>
      </c>
      <c r="G61" s="1">
        <v>3</v>
      </c>
      <c r="H61" s="1">
        <v>98.5</v>
      </c>
      <c r="I61" s="1">
        <v>29.8</v>
      </c>
      <c r="J61" s="1">
        <v>288.7</v>
      </c>
    </row>
    <row r="62" spans="1:10" ht="30" x14ac:dyDescent="0.25">
      <c r="C62" s="1" t="s">
        <v>22</v>
      </c>
      <c r="D62" s="1" t="s">
        <v>20</v>
      </c>
      <c r="E62" s="1"/>
      <c r="F62" s="1">
        <v>169.5</v>
      </c>
      <c r="G62" s="1">
        <v>2.88</v>
      </c>
      <c r="H62" s="1">
        <v>91.2</v>
      </c>
      <c r="I62" s="1">
        <v>16.3</v>
      </c>
      <c r="J62" s="1">
        <v>157.69999999999999</v>
      </c>
    </row>
    <row r="63" spans="1:10" ht="30" x14ac:dyDescent="0.25">
      <c r="C63" s="1" t="s">
        <v>1</v>
      </c>
      <c r="D63" s="1" t="s">
        <v>20</v>
      </c>
      <c r="E63" s="1"/>
      <c r="F63" s="1">
        <v>110.7</v>
      </c>
      <c r="G63" s="1">
        <v>2.4</v>
      </c>
      <c r="H63" s="1">
        <v>71.5</v>
      </c>
      <c r="I63" s="1">
        <v>12.3</v>
      </c>
      <c r="J63" s="1">
        <v>118.8</v>
      </c>
    </row>
    <row r="64" spans="1:10" ht="30" x14ac:dyDescent="0.25">
      <c r="C64" s="1" t="s">
        <v>23</v>
      </c>
      <c r="D64" s="1" t="s">
        <v>20</v>
      </c>
      <c r="E64" s="1"/>
      <c r="F64" s="1">
        <v>1029.3</v>
      </c>
      <c r="G64" s="1">
        <v>10.72</v>
      </c>
      <c r="H64" s="1">
        <v>148.80000000000001</v>
      </c>
      <c r="I64" s="1">
        <v>35</v>
      </c>
      <c r="J64" s="1">
        <v>339.3</v>
      </c>
    </row>
    <row r="65" spans="3:10" ht="30" x14ac:dyDescent="0.25">
      <c r="C65" s="1" t="s">
        <v>2</v>
      </c>
      <c r="D65" s="1" t="s">
        <v>20</v>
      </c>
      <c r="E65" s="1"/>
      <c r="F65" s="1">
        <v>637.20000000000005</v>
      </c>
      <c r="G65" s="1">
        <v>7</v>
      </c>
      <c r="H65" s="1">
        <v>141.1</v>
      </c>
      <c r="I65" s="1">
        <v>34.799999999999997</v>
      </c>
      <c r="J65" s="1">
        <v>336.6</v>
      </c>
    </row>
    <row r="68" spans="3:10" ht="30" x14ac:dyDescent="0.25">
      <c r="C68" s="1" t="s">
        <v>3</v>
      </c>
      <c r="D68" s="1" t="s">
        <v>20</v>
      </c>
      <c r="E68" s="1"/>
      <c r="F68" s="1">
        <v>265.10000000000002</v>
      </c>
      <c r="G68" s="1">
        <v>2.72</v>
      </c>
      <c r="H68" s="1">
        <v>151.1</v>
      </c>
      <c r="I68" s="1">
        <v>42.9</v>
      </c>
      <c r="J68" s="1">
        <v>415.3</v>
      </c>
    </row>
    <row r="69" spans="3:10" ht="30" x14ac:dyDescent="0.25">
      <c r="C69" s="1" t="s">
        <v>4</v>
      </c>
      <c r="D69" s="1" t="s">
        <v>20</v>
      </c>
      <c r="E69" s="1"/>
      <c r="F69" s="1">
        <v>219.7</v>
      </c>
      <c r="G69" s="1">
        <v>2.52</v>
      </c>
      <c r="H69" s="1">
        <v>135.1</v>
      </c>
      <c r="I69" s="1">
        <v>42.9</v>
      </c>
      <c r="J69" s="1">
        <v>415.3</v>
      </c>
    </row>
    <row r="70" spans="3:10" ht="30" x14ac:dyDescent="0.25">
      <c r="C70" s="1" t="s">
        <v>5</v>
      </c>
      <c r="D70" s="1" t="s">
        <v>20</v>
      </c>
      <c r="E70" s="1"/>
      <c r="F70" s="1">
        <v>215.4</v>
      </c>
      <c r="G70" s="1">
        <v>2.88</v>
      </c>
      <c r="H70" s="1">
        <v>115.9</v>
      </c>
      <c r="I70" s="1">
        <v>31.5</v>
      </c>
      <c r="J70" s="1">
        <v>305.39999999999998</v>
      </c>
    </row>
    <row r="71" spans="3:10" ht="30" x14ac:dyDescent="0.25">
      <c r="C71" s="1" t="s">
        <v>6</v>
      </c>
      <c r="D71" s="1" t="s">
        <v>20</v>
      </c>
      <c r="E71" s="1"/>
      <c r="F71" s="1">
        <v>141.1</v>
      </c>
      <c r="G71" s="1">
        <v>3.64</v>
      </c>
      <c r="H71" s="1">
        <v>60.1</v>
      </c>
      <c r="I71" s="1">
        <v>15.3</v>
      </c>
      <c r="J71" s="1">
        <v>148.19999999999999</v>
      </c>
    </row>
    <row r="72" spans="3:10" ht="30" x14ac:dyDescent="0.25">
      <c r="C72" s="1" t="s">
        <v>7</v>
      </c>
      <c r="D72" s="1" t="s">
        <v>20</v>
      </c>
      <c r="E72" s="1"/>
      <c r="F72" s="1">
        <v>783.9</v>
      </c>
      <c r="G72" s="1">
        <v>9.4</v>
      </c>
      <c r="H72" s="1">
        <v>129.30000000000001</v>
      </c>
      <c r="I72" s="1">
        <v>32.700000000000003</v>
      </c>
      <c r="J72" s="1">
        <v>316.39999999999998</v>
      </c>
    </row>
    <row r="73" spans="3:10" ht="30" x14ac:dyDescent="0.25">
      <c r="C73" s="1" t="s">
        <v>8</v>
      </c>
      <c r="D73" s="1" t="s">
        <v>20</v>
      </c>
      <c r="E73" s="1"/>
      <c r="F73" s="1">
        <v>638.5</v>
      </c>
      <c r="G73" s="1">
        <v>7.36</v>
      </c>
      <c r="H73" s="1">
        <v>134.5</v>
      </c>
      <c r="I73" s="1">
        <v>29.6</v>
      </c>
      <c r="J73" s="1">
        <v>286.7</v>
      </c>
    </row>
  </sheetData>
  <mergeCells count="25">
    <mergeCell ref="S23:T23"/>
    <mergeCell ref="A32:B32"/>
    <mergeCell ref="C18:T18"/>
    <mergeCell ref="C32:T32"/>
    <mergeCell ref="A23:B30"/>
    <mergeCell ref="G23:H23"/>
    <mergeCell ref="I23:J23"/>
    <mergeCell ref="K23:L23"/>
    <mergeCell ref="O23:P23"/>
    <mergeCell ref="Q23:R23"/>
    <mergeCell ref="D22:L22"/>
    <mergeCell ref="N22:T22"/>
    <mergeCell ref="A18:B18"/>
    <mergeCell ref="E2:L2"/>
    <mergeCell ref="E3:L3"/>
    <mergeCell ref="N8:T8"/>
    <mergeCell ref="D8:L8"/>
    <mergeCell ref="G9:H9"/>
    <mergeCell ref="I9:J9"/>
    <mergeCell ref="K9:L9"/>
    <mergeCell ref="O9:P9"/>
    <mergeCell ref="B6:D6"/>
    <mergeCell ref="A9:B16"/>
    <mergeCell ref="Q9:R9"/>
    <mergeCell ref="S9:T9"/>
  </mergeCells>
  <phoneticPr fontId="6" type="noConversion"/>
  <conditionalFormatting sqref="E11:E16">
    <cfRule type="expression" dxfId="83" priority="7">
      <formula>AND(E11&lt;&gt;"",E11&gt;=200)</formula>
    </cfRule>
    <cfRule type="expression" dxfId="82" priority="8">
      <formula>AND(E11&lt;&gt;"",E11&lt;200)</formula>
    </cfRule>
  </conditionalFormatting>
  <conditionalFormatting sqref="E25:E30">
    <cfRule type="expression" dxfId="81" priority="25">
      <formula>AND(E25&lt;&gt;"",E25&gt;=200)</formula>
    </cfRule>
    <cfRule type="expression" dxfId="80" priority="26">
      <formula>AND(E25&lt;&gt;"",E25&lt;200)</formula>
    </cfRule>
  </conditionalFormatting>
  <conditionalFormatting sqref="F11:F16">
    <cfRule type="containsText" dxfId="79" priority="24" operator="containsText" text="TARGET">
      <formula>NOT(ISERROR(SEARCH("TARGET",F11)))</formula>
    </cfRule>
  </conditionalFormatting>
  <conditionalFormatting sqref="F25:F30">
    <cfRule type="containsText" dxfId="78" priority="42" operator="containsText" text="TARGET">
      <formula>NOT(ISERROR(SEARCH("TARGET",F25)))</formula>
    </cfRule>
  </conditionalFormatting>
  <conditionalFormatting sqref="G11:G16">
    <cfRule type="expression" dxfId="77" priority="9">
      <formula>AND(G11&lt;&gt;"",G11&gt;=200)</formula>
    </cfRule>
    <cfRule type="expression" dxfId="76" priority="10">
      <formula>AND(G11&lt;&gt;"",G11&lt;200)</formula>
    </cfRule>
  </conditionalFormatting>
  <conditionalFormatting sqref="G25:G30">
    <cfRule type="expression" dxfId="75" priority="27">
      <formula>AND(G25&lt;&gt;"",G25&gt;=200)</formula>
    </cfRule>
    <cfRule type="expression" dxfId="74" priority="28">
      <formula>AND(G25&lt;&gt;"",G25&lt;200)</formula>
    </cfRule>
  </conditionalFormatting>
  <conditionalFormatting sqref="I11:I16">
    <cfRule type="expression" dxfId="73" priority="11">
      <formula>AND(I11&lt;&gt;"",I11&gt;=200)</formula>
    </cfRule>
    <cfRule type="expression" dxfId="72" priority="12">
      <formula>AND(I11&lt;&gt;"",I11&lt;200)</formula>
    </cfRule>
  </conditionalFormatting>
  <conditionalFormatting sqref="I25:I30">
    <cfRule type="expression" dxfId="71" priority="29">
      <formula>AND(I25&lt;&gt;"",I25&gt;=200)</formula>
    </cfRule>
    <cfRule type="expression" dxfId="70" priority="30">
      <formula>AND(I25&lt;&gt;"",I25&lt;200)</formula>
    </cfRule>
  </conditionalFormatting>
  <conditionalFormatting sqref="K11:K16">
    <cfRule type="expression" dxfId="69" priority="13">
      <formula>AND(K11&lt;&gt;"",K11&gt;=200)</formula>
    </cfRule>
    <cfRule type="expression" dxfId="68" priority="14">
      <formula>AND(K11&lt;&gt;"",K11&lt;200)</formula>
    </cfRule>
  </conditionalFormatting>
  <conditionalFormatting sqref="K25:K30">
    <cfRule type="expression" dxfId="67" priority="31">
      <formula>AND(K25&lt;&gt;"",K25&gt;=200)</formula>
    </cfRule>
    <cfRule type="expression" dxfId="66" priority="32">
      <formula>AND(K25&lt;&gt;"",K25&lt;200)</formula>
    </cfRule>
  </conditionalFormatting>
  <conditionalFormatting sqref="O11:O16">
    <cfRule type="expression" dxfId="23" priority="15">
      <formula>AND(O11&lt;&gt;"",O11&gt;=200)</formula>
    </cfRule>
    <cfRule type="expression" dxfId="22" priority="16">
      <formula>AND(O11&lt;&gt;"",O11&lt;200)</formula>
    </cfRule>
    <cfRule type="expression" dxfId="21" priority="6" stopIfTrue="1">
      <formula>AND(O11&lt;&gt;"",O11&gt;=1.05*IF($K11&lt;&gt;"",$K11,IF($I11&lt;&gt;"",$I11,$G11)))</formula>
    </cfRule>
  </conditionalFormatting>
  <conditionalFormatting sqref="O25:O30">
    <cfRule type="expression" dxfId="65" priority="33">
      <formula>AND(O25&lt;&gt;"",O25&gt;=200)</formula>
    </cfRule>
    <cfRule type="expression" dxfId="64" priority="34">
      <formula>AND(O25&lt;&gt;"",O25&lt;200)</formula>
    </cfRule>
  </conditionalFormatting>
  <conditionalFormatting sqref="P11:P16">
    <cfRule type="expression" dxfId="63" priority="21">
      <formula>AND(P11&lt;&gt;"",P11&gt;=5)</formula>
    </cfRule>
  </conditionalFormatting>
  <conditionalFormatting sqref="P25:P30">
    <cfRule type="expression" dxfId="62" priority="39">
      <formula>AND(P25&lt;&gt;"",P25&gt;=5)</formula>
    </cfRule>
  </conditionalFormatting>
  <conditionalFormatting sqref="Q11:Q16">
    <cfRule type="expression" dxfId="20" priority="17">
      <formula>AND(Q11&lt;&gt;"",Q11&gt;=200)</formula>
    </cfRule>
    <cfRule type="expression" dxfId="19" priority="18">
      <formula>AND(Q11&lt;&gt;"",Q11&lt;200)</formula>
    </cfRule>
    <cfRule type="expression" dxfId="18" priority="5" stopIfTrue="1">
      <formula>AND(Q11&lt;&gt;"",Q11&gt;=1.05*IF($K11&lt;&gt;"",$K11,IF($I11&lt;&gt;"",$I11,$G11)))</formula>
    </cfRule>
  </conditionalFormatting>
  <conditionalFormatting sqref="Q25:Q30">
    <cfRule type="expression" dxfId="61" priority="35">
      <formula>AND(Q25&lt;&gt;"",Q25&gt;=200)</formula>
    </cfRule>
    <cfRule type="expression" dxfId="60" priority="36">
      <formula>AND(Q25&lt;&gt;"",Q25&lt;200)</formula>
    </cfRule>
  </conditionalFormatting>
  <conditionalFormatting sqref="R11:R16">
    <cfRule type="expression" dxfId="59" priority="22">
      <formula>AND(R11&lt;&gt;"",R11&gt;=5)</formula>
    </cfRule>
  </conditionalFormatting>
  <conditionalFormatting sqref="R25:R30">
    <cfRule type="expression" dxfId="58" priority="40">
      <formula>AND(R25&lt;&gt;"",R25&gt;=5)</formula>
    </cfRule>
  </conditionalFormatting>
  <conditionalFormatting sqref="S11:S16">
    <cfRule type="expression" dxfId="17" priority="19">
      <formula>AND(S11&lt;&gt;"",S11&gt;=200)</formula>
    </cfRule>
    <cfRule type="expression" dxfId="16" priority="20">
      <formula>AND(S11&lt;&gt;"",S11&lt;200)</formula>
    </cfRule>
    <cfRule type="expression" dxfId="15" priority="4" stopIfTrue="1">
      <formula>AND(S11&lt;&gt;"",S11&gt;=1.05*IF($K11&lt;&gt;"",$K11,IF($I11&lt;&gt;"",$I11,$G11)))</formula>
    </cfRule>
  </conditionalFormatting>
  <conditionalFormatting sqref="S25:S30">
    <cfRule type="expression" dxfId="57" priority="37">
      <formula>AND(S25&lt;&gt;"",S25&gt;=200)</formula>
    </cfRule>
    <cfRule type="expression" dxfId="56" priority="38">
      <formula>AND(S25&lt;&gt;"",S25&lt;200)</formula>
    </cfRule>
  </conditionalFormatting>
  <conditionalFormatting sqref="T11:T16">
    <cfRule type="expression" dxfId="55" priority="23">
      <formula>AND(T11&lt;&gt;"",T11&gt;=5)</formula>
    </cfRule>
  </conditionalFormatting>
  <conditionalFormatting sqref="T25:T30">
    <cfRule type="expression" dxfId="54" priority="41">
      <formula>AND(T25&lt;&gt;"",T25&gt;=5)</formula>
    </cfRule>
  </conditionalFormatting>
  <conditionalFormatting sqref="O25:O30">
    <cfRule type="expression" dxfId="14" priority="3" stopIfTrue="1">
      <formula>AND(O25&lt;&gt;"",O25&gt;=1.05*IF($K25&lt;&gt;"",$K25,IF($I25&lt;&gt;"",$I25,$G25)))</formula>
    </cfRule>
  </conditionalFormatting>
  <conditionalFormatting sqref="Q25:Q30">
    <cfRule type="expression" dxfId="13" priority="2" stopIfTrue="1">
      <formula>AND(Q25&lt;&gt;"",Q25&gt;=1.05*IF($K25&lt;&gt;"",$K25,IF($I25&lt;&gt;"",$I25,$G25)))</formula>
    </cfRule>
  </conditionalFormatting>
  <conditionalFormatting sqref="S25:S30">
    <cfRule type="expression" dxfId="12" priority="1" stopIfTrue="1">
      <formula>AND(S25&lt;&gt;"",S25&gt;=1.05*IF($K25&lt;&gt;"",$K25,IF($I25&lt;&gt;"",$I25,$G25)))</formula>
    </cfRule>
  </conditionalFormatting>
  <pageMargins left="0.7" right="0.7" top="0.75" bottom="0.75" header="0.3" footer="0.3"/>
  <pageSetup paperSize="9" scale="54" orientation="landscape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044AE6-F4AD-4DA0-ADD9-5F853456D134}">
  <sheetPr>
    <tabColor rgb="FFF5A623"/>
    <pageSetUpPr fitToPage="1"/>
  </sheetPr>
  <dimension ref="A1:CT73"/>
  <sheetViews>
    <sheetView showGridLines="0" zoomScale="85" zoomScaleNormal="85" workbookViewId="0">
      <pane xSplit="4" topLeftCell="E1" activePane="topRight" state="frozen"/>
      <selection pane="topRight" activeCell="G14" sqref="G14"/>
    </sheetView>
  </sheetViews>
  <sheetFormatPr defaultColWidth="8.85546875" defaultRowHeight="15" x14ac:dyDescent="0.25"/>
  <cols>
    <col min="1" max="1" width="13.7109375" customWidth="1"/>
    <col min="2" max="2" width="5.7109375" customWidth="1"/>
    <col min="3" max="3" width="23.85546875" customWidth="1"/>
    <col min="4" max="4" width="10.7109375" customWidth="1"/>
    <col min="5" max="6" width="12.140625" customWidth="1"/>
    <col min="7" max="7" width="12.140625" style="4" customWidth="1"/>
    <col min="8" max="8" width="12.140625" customWidth="1"/>
    <col min="9" max="11" width="12.140625" style="2" customWidth="1"/>
    <col min="12" max="12" width="12.140625" customWidth="1"/>
    <col min="13" max="13" width="3" customWidth="1"/>
    <col min="14" max="20" width="12.140625" customWidth="1"/>
    <col min="21" max="21" width="8.85546875" style="7"/>
    <col min="22" max="22" width="21" style="7" customWidth="1"/>
    <col min="23" max="25" width="13.28515625" style="7" customWidth="1"/>
    <col min="26" max="98" width="8.85546875" style="7"/>
  </cols>
  <sheetData>
    <row r="1" spans="1:98" ht="6" customHeight="1" x14ac:dyDescent="0.25">
      <c r="A1" s="14"/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  <c r="Q1" s="14"/>
      <c r="R1" s="14"/>
      <c r="S1" s="14"/>
      <c r="T1" s="14"/>
    </row>
    <row r="2" spans="1:98" ht="33.950000000000003" customHeight="1" x14ac:dyDescent="0.5">
      <c r="A2" s="13"/>
      <c r="B2" s="13"/>
      <c r="C2" s="13"/>
      <c r="D2" s="13"/>
      <c r="E2" s="82" t="s">
        <v>25</v>
      </c>
      <c r="F2" s="83"/>
      <c r="G2" s="83"/>
      <c r="H2" s="83"/>
      <c r="I2" s="83"/>
      <c r="J2" s="83"/>
      <c r="K2" s="83"/>
      <c r="L2" s="83"/>
      <c r="M2" s="13"/>
      <c r="N2" s="13"/>
      <c r="O2" s="13"/>
      <c r="P2" s="13"/>
      <c r="Q2" s="13"/>
      <c r="R2" s="13"/>
      <c r="S2" s="13"/>
      <c r="T2" s="13"/>
    </row>
    <row r="3" spans="1:98" ht="18" customHeight="1" x14ac:dyDescent="0.25">
      <c r="A3" s="13"/>
      <c r="B3" s="13"/>
      <c r="C3" s="13"/>
      <c r="D3" s="13"/>
      <c r="E3" s="84" t="s">
        <v>26</v>
      </c>
      <c r="F3" s="83"/>
      <c r="G3" s="83"/>
      <c r="H3" s="83"/>
      <c r="I3" s="83"/>
      <c r="J3" s="83"/>
      <c r="K3" s="83"/>
      <c r="L3" s="83"/>
      <c r="M3" s="13"/>
      <c r="N3" s="13"/>
      <c r="O3" s="13"/>
      <c r="P3" s="13"/>
      <c r="Q3" s="13"/>
      <c r="R3" s="13"/>
      <c r="S3" s="13"/>
      <c r="T3" s="13"/>
    </row>
    <row r="4" spans="1:98" ht="3.95" customHeight="1" x14ac:dyDescent="0.25">
      <c r="A4" s="14"/>
      <c r="B4" s="14"/>
      <c r="C4" s="14"/>
      <c r="D4" s="14"/>
      <c r="E4" s="14"/>
      <c r="F4" s="14"/>
      <c r="G4" s="14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V4" s="70" t="s">
        <v>33</v>
      </c>
    </row>
    <row r="5" spans="1:98" x14ac:dyDescent="0.25">
      <c r="U5" s="5"/>
      <c r="X5" s="58" t="s">
        <v>32</v>
      </c>
      <c r="Y5" s="57">
        <v>200</v>
      </c>
    </row>
    <row r="6" spans="1:98" ht="15.75" x14ac:dyDescent="0.25">
      <c r="A6" s="64" t="s">
        <v>12</v>
      </c>
      <c r="B6" s="90"/>
      <c r="C6" s="91"/>
      <c r="D6" s="92"/>
      <c r="E6" s="65"/>
      <c r="F6" s="65"/>
      <c r="G6" s="59" t="s">
        <v>13</v>
      </c>
      <c r="H6" s="66"/>
      <c r="I6" s="50"/>
      <c r="J6" s="50"/>
      <c r="K6" s="50"/>
      <c r="L6" s="67"/>
      <c r="M6" s="67"/>
      <c r="N6" s="67"/>
      <c r="O6" s="67"/>
      <c r="P6" s="67"/>
      <c r="Q6" s="67"/>
      <c r="R6" s="67"/>
      <c r="S6" s="67"/>
      <c r="T6" s="67"/>
      <c r="U6" s="5"/>
      <c r="V6" s="69" t="s">
        <v>28</v>
      </c>
      <c r="W6" s="68"/>
      <c r="X6" s="68"/>
      <c r="Y6" s="68"/>
    </row>
    <row r="7" spans="1:98" ht="15.75" x14ac:dyDescent="0.25">
      <c r="A7" s="16"/>
      <c r="E7" s="15"/>
      <c r="F7" s="15"/>
      <c r="G7" s="17"/>
      <c r="H7" s="18"/>
      <c r="U7" s="5"/>
      <c r="V7" s="69" t="s">
        <v>29</v>
      </c>
      <c r="W7" s="69" t="s">
        <v>35</v>
      </c>
      <c r="X7" s="69" t="s">
        <v>37</v>
      </c>
      <c r="Y7" s="69" t="s">
        <v>30</v>
      </c>
    </row>
    <row r="8" spans="1:98" s="5" customFormat="1" ht="14.45" customHeight="1" x14ac:dyDescent="0.25">
      <c r="A8"/>
      <c r="B8"/>
      <c r="C8"/>
      <c r="D8" s="85" t="s">
        <v>130</v>
      </c>
      <c r="E8" s="86"/>
      <c r="F8" s="86"/>
      <c r="G8" s="86"/>
      <c r="H8" s="86"/>
      <c r="I8" s="86"/>
      <c r="J8" s="86"/>
      <c r="K8" s="86"/>
      <c r="L8" s="87"/>
      <c r="M8"/>
      <c r="N8" s="85" t="s">
        <v>131</v>
      </c>
      <c r="O8" s="86"/>
      <c r="P8" s="86"/>
      <c r="Q8" s="86"/>
      <c r="R8" s="86"/>
      <c r="S8" s="86"/>
      <c r="T8" s="87"/>
      <c r="V8" s="68" t="str">
        <f>C11</f>
        <v>G_Left Hallux</v>
      </c>
      <c r="W8" s="68">
        <f>E11</f>
        <v>380</v>
      </c>
      <c r="X8" s="68">
        <f>G11</f>
        <v>170</v>
      </c>
      <c r="Y8" s="68">
        <f>$Y$5</f>
        <v>200</v>
      </c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7"/>
      <c r="AV8" s="7"/>
      <c r="AW8" s="7"/>
      <c r="AX8" s="7"/>
      <c r="AY8" s="7"/>
      <c r="AZ8" s="7"/>
      <c r="BA8" s="7"/>
      <c r="BB8" s="7"/>
      <c r="BC8" s="7"/>
      <c r="BD8" s="7"/>
      <c r="BE8" s="7"/>
      <c r="BF8" s="7"/>
      <c r="BG8" s="7"/>
      <c r="BH8" s="7"/>
      <c r="BI8" s="7"/>
      <c r="BJ8" s="7"/>
      <c r="BK8" s="7"/>
      <c r="BL8" s="7"/>
      <c r="BM8" s="7"/>
      <c r="BN8" s="7"/>
      <c r="BO8" s="7"/>
      <c r="BP8" s="7"/>
      <c r="BQ8" s="7"/>
      <c r="BR8" s="7"/>
      <c r="BS8" s="7"/>
      <c r="BT8" s="7"/>
      <c r="BU8" s="7"/>
      <c r="BV8" s="7"/>
      <c r="BW8" s="7"/>
      <c r="BX8" s="7"/>
      <c r="BY8" s="7"/>
      <c r="BZ8" s="7"/>
      <c r="CA8" s="7"/>
      <c r="CB8" s="7"/>
      <c r="CC8" s="7"/>
      <c r="CD8" s="7"/>
      <c r="CE8" s="7"/>
      <c r="CF8" s="7"/>
      <c r="CG8" s="7"/>
      <c r="CH8" s="7"/>
      <c r="CI8" s="7"/>
      <c r="CJ8" s="7"/>
      <c r="CK8" s="7"/>
      <c r="CL8" s="7"/>
      <c r="CM8" s="7"/>
      <c r="CN8" s="7"/>
      <c r="CO8" s="7"/>
      <c r="CP8" s="7"/>
      <c r="CQ8" s="7"/>
      <c r="CR8" s="7"/>
      <c r="CS8" s="7"/>
      <c r="CT8" s="7"/>
    </row>
    <row r="9" spans="1:98" s="5" customFormat="1" ht="36" x14ac:dyDescent="0.25">
      <c r="A9" s="93" t="s">
        <v>9</v>
      </c>
      <c r="B9" s="94"/>
      <c r="C9" s="34"/>
      <c r="D9" s="35"/>
      <c r="E9" s="61" t="s">
        <v>35</v>
      </c>
      <c r="F9" s="62" t="s">
        <v>24</v>
      </c>
      <c r="G9" s="88" t="s">
        <v>37</v>
      </c>
      <c r="H9" s="89"/>
      <c r="I9" s="88" t="s">
        <v>38</v>
      </c>
      <c r="J9" s="89"/>
      <c r="K9" s="88" t="s">
        <v>39</v>
      </c>
      <c r="L9" s="89"/>
      <c r="M9" s="63"/>
      <c r="N9" s="60" t="s">
        <v>132</v>
      </c>
      <c r="O9" s="88" t="s">
        <v>37</v>
      </c>
      <c r="P9" s="89"/>
      <c r="Q9" s="88" t="s">
        <v>38</v>
      </c>
      <c r="R9" s="89"/>
      <c r="S9" s="88" t="s">
        <v>39</v>
      </c>
      <c r="T9" s="89"/>
      <c r="V9" s="68" t="str">
        <f t="shared" ref="V9:V13" si="0">C12</f>
        <v>H_Left Metatarsal 1</v>
      </c>
      <c r="W9" s="68">
        <f t="shared" ref="W9:W13" si="1">E12</f>
        <v>450</v>
      </c>
      <c r="X9" s="68">
        <f t="shared" ref="X9:X13" si="2">G12</f>
        <v>163</v>
      </c>
      <c r="Y9" s="68">
        <f t="shared" ref="Y9:Y13" si="3">$Y$5</f>
        <v>200</v>
      </c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7"/>
      <c r="AV9" s="7"/>
      <c r="AW9" s="7"/>
      <c r="AX9" s="7"/>
      <c r="AY9" s="7"/>
      <c r="AZ9" s="7"/>
      <c r="BA9" s="7"/>
      <c r="BB9" s="7"/>
      <c r="BC9" s="7"/>
      <c r="BD9" s="7"/>
      <c r="BE9" s="7"/>
      <c r="BF9" s="7"/>
      <c r="BG9" s="7"/>
      <c r="BH9" s="7"/>
      <c r="BI9" s="7"/>
      <c r="BJ9" s="7"/>
      <c r="BK9" s="7"/>
      <c r="BL9" s="7"/>
      <c r="BM9" s="7"/>
      <c r="BN9" s="7"/>
      <c r="BO9" s="7"/>
      <c r="BP9" s="7"/>
      <c r="BQ9" s="7"/>
      <c r="BR9" s="7"/>
      <c r="BS9" s="7"/>
      <c r="BT9" s="7"/>
      <c r="BU9" s="7"/>
      <c r="BV9" s="7"/>
      <c r="BW9" s="7"/>
      <c r="BX9" s="7"/>
      <c r="BY9" s="7"/>
      <c r="BZ9" s="7"/>
      <c r="CA9" s="7"/>
      <c r="CB9" s="7"/>
      <c r="CC9" s="7"/>
      <c r="CD9" s="7"/>
      <c r="CE9" s="7"/>
      <c r="CF9" s="7"/>
      <c r="CG9" s="7"/>
      <c r="CH9" s="7"/>
      <c r="CI9" s="7"/>
      <c r="CJ9" s="7"/>
      <c r="CK9" s="7"/>
      <c r="CL9" s="7"/>
      <c r="CM9" s="7"/>
      <c r="CN9" s="7"/>
      <c r="CO9" s="7"/>
      <c r="CP9" s="7"/>
      <c r="CQ9" s="7"/>
      <c r="CR9" s="7"/>
      <c r="CS9" s="7"/>
      <c r="CT9" s="7"/>
    </row>
    <row r="10" spans="1:98" s="5" customFormat="1" ht="48" x14ac:dyDescent="0.25">
      <c r="A10" s="95"/>
      <c r="B10" s="96"/>
      <c r="C10" s="34"/>
      <c r="D10" s="35"/>
      <c r="E10" s="36" t="s">
        <v>10</v>
      </c>
      <c r="F10" s="36" t="s">
        <v>134</v>
      </c>
      <c r="G10" s="36" t="s">
        <v>10</v>
      </c>
      <c r="H10" s="36" t="s">
        <v>34</v>
      </c>
      <c r="I10" s="36" t="s">
        <v>10</v>
      </c>
      <c r="J10" s="36" t="s">
        <v>34</v>
      </c>
      <c r="K10" s="36" t="s">
        <v>10</v>
      </c>
      <c r="L10" s="36" t="s">
        <v>34</v>
      </c>
      <c r="M10" s="63"/>
      <c r="N10" s="36" t="s">
        <v>10</v>
      </c>
      <c r="O10" s="36" t="s">
        <v>10</v>
      </c>
      <c r="P10" s="36" t="s">
        <v>133</v>
      </c>
      <c r="Q10" s="36" t="s">
        <v>10</v>
      </c>
      <c r="R10" s="36" t="s">
        <v>133</v>
      </c>
      <c r="S10" s="36" t="s">
        <v>10</v>
      </c>
      <c r="T10" s="36" t="s">
        <v>133</v>
      </c>
      <c r="V10" s="68" t="str">
        <f t="shared" si="0"/>
        <v>I_Left Meta 2-3</v>
      </c>
      <c r="W10" s="68">
        <f t="shared" si="1"/>
        <v>270</v>
      </c>
      <c r="X10" s="68">
        <f t="shared" si="2"/>
        <v>280</v>
      </c>
      <c r="Y10" s="68">
        <f t="shared" si="3"/>
        <v>200</v>
      </c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  <c r="BF10" s="7"/>
      <c r="BG10" s="7"/>
      <c r="BH10" s="7"/>
      <c r="BI10" s="7"/>
      <c r="BJ10" s="7"/>
      <c r="BK10" s="7"/>
      <c r="BL10" s="7"/>
      <c r="BM10" s="7"/>
      <c r="BN10" s="7"/>
      <c r="BO10" s="7"/>
      <c r="BP10" s="7"/>
      <c r="BQ10" s="7"/>
      <c r="BR10" s="7"/>
      <c r="BS10" s="7"/>
      <c r="BT10" s="7"/>
      <c r="BU10" s="7"/>
      <c r="BV10" s="7"/>
      <c r="BW10" s="7"/>
      <c r="BX10" s="7"/>
      <c r="BY10" s="7"/>
      <c r="BZ10" s="7"/>
      <c r="CA10" s="7"/>
      <c r="CB10" s="7"/>
      <c r="CC10" s="7"/>
      <c r="CD10" s="7"/>
      <c r="CE10" s="7"/>
      <c r="CF10" s="7"/>
      <c r="CG10" s="7"/>
      <c r="CH10" s="7"/>
      <c r="CI10" s="7"/>
      <c r="CJ10" s="7"/>
      <c r="CK10" s="7"/>
      <c r="CL10" s="7"/>
      <c r="CM10" s="7"/>
      <c r="CN10" s="7"/>
      <c r="CO10" s="7"/>
      <c r="CP10" s="7"/>
      <c r="CQ10" s="7"/>
      <c r="CR10" s="7"/>
      <c r="CS10" s="7"/>
      <c r="CT10" s="7"/>
    </row>
    <row r="11" spans="1:98" s="5" customFormat="1" ht="21.95" customHeight="1" x14ac:dyDescent="0.25">
      <c r="A11" s="95"/>
      <c r="B11" s="96"/>
      <c r="C11" s="37" t="s">
        <v>3</v>
      </c>
      <c r="D11" s="38"/>
      <c r="E11" s="39">
        <v>380</v>
      </c>
      <c r="F11" s="40" t="str">
        <f>IF(E11="","",IF(AND(E11&gt;200,RANK(E11,$E$11:$E$16)&lt;=2),"TARGET",""))</f>
        <v>TARGET</v>
      </c>
      <c r="G11" s="41">
        <v>170</v>
      </c>
      <c r="H11" s="44">
        <f t="shared" ref="H11:H16" si="4">IF(OR($E11="",G11=""),"",((G11-$E11)/$E11)*100)</f>
        <v>-55.26315789473685</v>
      </c>
      <c r="I11" s="41"/>
      <c r="J11" s="44" t="str">
        <f t="shared" ref="J11:J16" si="5">IF(OR($E11="",I11=""),"",((I11-$E11)/$E11)*100)</f>
        <v/>
      </c>
      <c r="K11" s="41"/>
      <c r="L11" s="44" t="str">
        <f t="shared" ref="L11:L16" si="6">IF(OR($E11="",K11=""),"",((K11-$E11)/$E11)*100)</f>
        <v/>
      </c>
      <c r="M11" s="33"/>
      <c r="N11" s="41">
        <f>IF(E11="","",E11)</f>
        <v>380</v>
      </c>
      <c r="O11" s="41"/>
      <c r="P11" s="44" t="str">
        <f t="shared" ref="P11:P16" si="7">IF(OR($N11="",O11=""),"",((O11-$N11)/$N11)*100)</f>
        <v/>
      </c>
      <c r="Q11" s="41"/>
      <c r="R11" s="44" t="str">
        <f t="shared" ref="R11:R16" si="8">IF(OR($N11="",Q11=""),"",((Q11-$N11)/$N11)*100)</f>
        <v/>
      </c>
      <c r="S11" s="41"/>
      <c r="T11" s="44" t="str">
        <f t="shared" ref="T11:T16" si="9">IF(OR($N11="",S11=""),"",((S11-$N11)/$N11)*100)</f>
        <v/>
      </c>
      <c r="V11" s="68" t="str">
        <f t="shared" si="0"/>
        <v>J_Left Meta 4-5</v>
      </c>
      <c r="W11" s="68">
        <f t="shared" si="1"/>
        <v>180</v>
      </c>
      <c r="X11" s="68" t="str">
        <f t="shared" si="2"/>
        <v/>
      </c>
      <c r="Y11" s="68">
        <f t="shared" si="3"/>
        <v>200</v>
      </c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  <c r="AU11" s="7"/>
      <c r="AV11" s="7"/>
      <c r="AW11" s="7"/>
      <c r="AX11" s="7"/>
      <c r="AY11" s="7"/>
      <c r="AZ11" s="7"/>
      <c r="BA11" s="7"/>
      <c r="BB11" s="7"/>
      <c r="BC11" s="7"/>
      <c r="BD11" s="7"/>
      <c r="BE11" s="7"/>
      <c r="BF11" s="7"/>
      <c r="BG11" s="7"/>
      <c r="BH11" s="7"/>
      <c r="BI11" s="7"/>
      <c r="BJ11" s="7"/>
      <c r="BK11" s="7"/>
      <c r="BL11" s="7"/>
      <c r="BM11" s="7"/>
      <c r="BN11" s="7"/>
      <c r="BO11" s="7"/>
      <c r="BP11" s="7"/>
      <c r="BQ11" s="7"/>
      <c r="BR11" s="7"/>
      <c r="BS11" s="7"/>
      <c r="BT11" s="7"/>
      <c r="BU11" s="7"/>
      <c r="BV11" s="7"/>
      <c r="BW11" s="7"/>
      <c r="BX11" s="7"/>
      <c r="BY11" s="7"/>
      <c r="BZ11" s="7"/>
      <c r="CA11" s="7"/>
      <c r="CB11" s="7"/>
      <c r="CC11" s="7"/>
      <c r="CD11" s="7"/>
      <c r="CE11" s="7"/>
      <c r="CF11" s="7"/>
      <c r="CG11" s="7"/>
      <c r="CH11" s="7"/>
      <c r="CI11" s="7"/>
      <c r="CJ11" s="7"/>
      <c r="CK11" s="7"/>
      <c r="CL11" s="7"/>
      <c r="CM11" s="7"/>
      <c r="CN11" s="7"/>
      <c r="CO11" s="7"/>
      <c r="CP11" s="7"/>
      <c r="CQ11" s="7"/>
      <c r="CR11" s="7"/>
      <c r="CS11" s="7"/>
      <c r="CT11" s="7"/>
    </row>
    <row r="12" spans="1:98" s="5" customFormat="1" ht="21.95" customHeight="1" x14ac:dyDescent="0.25">
      <c r="A12" s="95"/>
      <c r="B12" s="96"/>
      <c r="C12" s="37" t="s">
        <v>4</v>
      </c>
      <c r="D12" s="38"/>
      <c r="E12" s="39">
        <v>450</v>
      </c>
      <c r="F12" s="40" t="str">
        <f>IF(E12="","",IF(AND(E12&gt;200,RANK(E12,$E$11:$E$16)&lt;=2),"TARGET",""))</f>
        <v>TARGET</v>
      </c>
      <c r="G12" s="41">
        <v>163</v>
      </c>
      <c r="H12" s="44">
        <f t="shared" si="4"/>
        <v>-63.777777777777779</v>
      </c>
      <c r="I12" s="41"/>
      <c r="J12" s="44" t="str">
        <f t="shared" si="5"/>
        <v/>
      </c>
      <c r="K12" s="41"/>
      <c r="L12" s="44" t="str">
        <f t="shared" si="6"/>
        <v/>
      </c>
      <c r="M12" s="33"/>
      <c r="N12" s="41">
        <f>IF(E12="","",E12)</f>
        <v>450</v>
      </c>
      <c r="O12" s="41"/>
      <c r="P12" s="44" t="str">
        <f t="shared" si="7"/>
        <v/>
      </c>
      <c r="Q12" s="41"/>
      <c r="R12" s="44" t="str">
        <f t="shared" si="8"/>
        <v/>
      </c>
      <c r="S12" s="41"/>
      <c r="T12" s="44" t="str">
        <f t="shared" si="9"/>
        <v/>
      </c>
      <c r="V12" s="68" t="str">
        <f t="shared" si="0"/>
        <v>K_Left_Midfoot</v>
      </c>
      <c r="W12" s="68">
        <f t="shared" si="1"/>
        <v>256</v>
      </c>
      <c r="X12" s="68" t="str">
        <f t="shared" si="2"/>
        <v/>
      </c>
      <c r="Y12" s="68">
        <f t="shared" si="3"/>
        <v>200</v>
      </c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7"/>
      <c r="AV12" s="7"/>
      <c r="AW12" s="7"/>
      <c r="AX12" s="7"/>
      <c r="AY12" s="7"/>
      <c r="AZ12" s="7"/>
      <c r="BA12" s="7"/>
      <c r="BB12" s="7"/>
      <c r="BC12" s="7"/>
      <c r="BD12" s="7"/>
      <c r="BE12" s="7"/>
      <c r="BF12" s="7"/>
      <c r="BG12" s="7"/>
      <c r="BH12" s="7"/>
      <c r="BI12" s="7"/>
      <c r="BJ12" s="7"/>
      <c r="BK12" s="7"/>
      <c r="BL12" s="7"/>
      <c r="BM12" s="7"/>
      <c r="BN12" s="7"/>
      <c r="BO12" s="7"/>
      <c r="BP12" s="7"/>
      <c r="BQ12" s="7"/>
      <c r="BR12" s="7"/>
      <c r="BS12" s="7"/>
      <c r="BT12" s="7"/>
      <c r="BU12" s="7"/>
      <c r="BV12" s="7"/>
      <c r="BW12" s="7"/>
      <c r="BX12" s="7"/>
      <c r="BY12" s="7"/>
      <c r="BZ12" s="7"/>
      <c r="CA12" s="7"/>
      <c r="CB12" s="7"/>
      <c r="CC12" s="7"/>
      <c r="CD12" s="7"/>
      <c r="CE12" s="7"/>
      <c r="CF12" s="7"/>
      <c r="CG12" s="7"/>
      <c r="CH12" s="7"/>
      <c r="CI12" s="7"/>
      <c r="CJ12" s="7"/>
      <c r="CK12" s="7"/>
      <c r="CL12" s="7"/>
      <c r="CM12" s="7"/>
      <c r="CN12" s="7"/>
      <c r="CO12" s="7"/>
      <c r="CP12" s="7"/>
      <c r="CQ12" s="7"/>
      <c r="CR12" s="7"/>
      <c r="CS12" s="7"/>
      <c r="CT12" s="7"/>
    </row>
    <row r="13" spans="1:98" s="5" customFormat="1" ht="21.95" customHeight="1" x14ac:dyDescent="0.25">
      <c r="A13" s="95"/>
      <c r="B13" s="96"/>
      <c r="C13" s="37" t="s">
        <v>5</v>
      </c>
      <c r="D13" s="38"/>
      <c r="E13" s="39">
        <v>270</v>
      </c>
      <c r="F13" s="40" t="str">
        <f>IF(E13="","",IF(AND(E13&gt;200,RANK(E13,$E$11:$E$16)&lt;=2),"TARGET",""))</f>
        <v/>
      </c>
      <c r="G13" s="41">
        <v>280</v>
      </c>
      <c r="H13" s="44">
        <f t="shared" si="4"/>
        <v>3.7037037037037033</v>
      </c>
      <c r="I13" s="41"/>
      <c r="J13" s="44" t="str">
        <f t="shared" si="5"/>
        <v/>
      </c>
      <c r="K13" s="41"/>
      <c r="L13" s="44" t="str">
        <f t="shared" si="6"/>
        <v/>
      </c>
      <c r="M13" s="33"/>
      <c r="N13" s="41">
        <f>IF(E13="","",E13)</f>
        <v>270</v>
      </c>
      <c r="O13" s="41"/>
      <c r="P13" s="44" t="str">
        <f t="shared" si="7"/>
        <v/>
      </c>
      <c r="Q13" s="41"/>
      <c r="R13" s="44" t="str">
        <f t="shared" si="8"/>
        <v/>
      </c>
      <c r="S13" s="41"/>
      <c r="T13" s="44" t="str">
        <f t="shared" si="9"/>
        <v/>
      </c>
      <c r="V13" s="68" t="str">
        <f t="shared" si="0"/>
        <v>L_Left Heel</v>
      </c>
      <c r="W13" s="68" t="str">
        <f t="shared" si="1"/>
        <v/>
      </c>
      <c r="X13" s="68" t="str">
        <f t="shared" si="2"/>
        <v/>
      </c>
      <c r="Y13" s="68">
        <f t="shared" si="3"/>
        <v>200</v>
      </c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7"/>
      <c r="AV13" s="7"/>
      <c r="AW13" s="7"/>
      <c r="AX13" s="7"/>
      <c r="AY13" s="7"/>
      <c r="AZ13" s="7"/>
      <c r="BA13" s="7"/>
      <c r="BB13" s="7"/>
      <c r="BC13" s="7"/>
      <c r="BD13" s="7"/>
      <c r="BE13" s="7"/>
      <c r="BF13" s="7"/>
      <c r="BG13" s="7"/>
      <c r="BH13" s="7"/>
      <c r="BI13" s="7"/>
      <c r="BJ13" s="7"/>
      <c r="BK13" s="7"/>
      <c r="BL13" s="7"/>
      <c r="BM13" s="7"/>
      <c r="BN13" s="7"/>
      <c r="BO13" s="7"/>
      <c r="BP13" s="7"/>
      <c r="BQ13" s="7"/>
      <c r="BR13" s="7"/>
      <c r="BS13" s="7"/>
      <c r="BT13" s="7"/>
      <c r="BU13" s="7"/>
      <c r="BV13" s="7"/>
      <c r="BW13" s="7"/>
      <c r="BX13" s="7"/>
      <c r="BY13" s="7"/>
      <c r="BZ13" s="7"/>
      <c r="CA13" s="7"/>
      <c r="CB13" s="7"/>
      <c r="CC13" s="7"/>
      <c r="CD13" s="7"/>
      <c r="CE13" s="7"/>
      <c r="CF13" s="7"/>
      <c r="CG13" s="7"/>
      <c r="CH13" s="7"/>
      <c r="CI13" s="7"/>
      <c r="CJ13" s="7"/>
      <c r="CK13" s="7"/>
      <c r="CL13" s="7"/>
      <c r="CM13" s="7"/>
      <c r="CN13" s="7"/>
      <c r="CO13" s="7"/>
      <c r="CP13" s="7"/>
      <c r="CQ13" s="7"/>
      <c r="CR13" s="7"/>
      <c r="CS13" s="7"/>
      <c r="CT13" s="7"/>
    </row>
    <row r="14" spans="1:98" s="5" customFormat="1" ht="21.95" customHeight="1" x14ac:dyDescent="0.25">
      <c r="A14" s="95"/>
      <c r="B14" s="96"/>
      <c r="C14" s="37" t="s">
        <v>6</v>
      </c>
      <c r="D14" s="38"/>
      <c r="E14" s="42">
        <v>180</v>
      </c>
      <c r="F14" s="40" t="str">
        <f>IF(E14="","",IF(AND(E14&gt;200,RANK(E14,$E$11:$E$16)&lt;=2),"TARGET",""))</f>
        <v/>
      </c>
      <c r="G14" s="41" t="str">
        <f t="shared" ref="G14:G16" si="10">IF(J71="","",J71)</f>
        <v/>
      </c>
      <c r="H14" s="44" t="str">
        <f t="shared" si="4"/>
        <v/>
      </c>
      <c r="I14" s="41"/>
      <c r="J14" s="44" t="str">
        <f t="shared" si="5"/>
        <v/>
      </c>
      <c r="K14" s="41"/>
      <c r="L14" s="44" t="str">
        <f t="shared" si="6"/>
        <v/>
      </c>
      <c r="M14" s="33"/>
      <c r="N14" s="41">
        <f>IF(E14="","",E14)</f>
        <v>180</v>
      </c>
      <c r="O14" s="41"/>
      <c r="P14" s="44" t="str">
        <f t="shared" si="7"/>
        <v/>
      </c>
      <c r="Q14" s="41"/>
      <c r="R14" s="44" t="str">
        <f t="shared" si="8"/>
        <v/>
      </c>
      <c r="S14" s="41"/>
      <c r="T14" s="44" t="str">
        <f t="shared" si="9"/>
        <v/>
      </c>
      <c r="V14" s="68"/>
      <c r="W14" s="68"/>
      <c r="X14" s="68"/>
      <c r="Y14" s="68"/>
      <c r="Z14" s="7"/>
      <c r="AA14" s="7"/>
      <c r="AB14" s="7"/>
      <c r="AC14" s="7"/>
      <c r="AD14" s="7"/>
      <c r="AE14" s="7"/>
      <c r="AF14" s="7"/>
      <c r="AG14" s="7"/>
      <c r="AH14" s="7"/>
      <c r="AI14" s="7"/>
      <c r="AJ14" s="7"/>
      <c r="AK14" s="7"/>
      <c r="AL14" s="7"/>
      <c r="AM14" s="7"/>
      <c r="AN14" s="7"/>
      <c r="AO14" s="7"/>
      <c r="AP14" s="7"/>
      <c r="AQ14" s="7"/>
      <c r="AR14" s="7"/>
      <c r="AS14" s="7"/>
      <c r="AT14" s="7"/>
      <c r="AU14" s="7"/>
      <c r="AV14" s="7"/>
      <c r="AW14" s="7"/>
      <c r="AX14" s="7"/>
      <c r="AY14" s="7"/>
      <c r="AZ14" s="7"/>
      <c r="BA14" s="7"/>
      <c r="BB14" s="7"/>
      <c r="BC14" s="7"/>
      <c r="BD14" s="7"/>
      <c r="BE14" s="7"/>
      <c r="BF14" s="7"/>
      <c r="BG14" s="7"/>
      <c r="BH14" s="7"/>
      <c r="BI14" s="7"/>
      <c r="BJ14" s="7"/>
      <c r="BK14" s="7"/>
      <c r="BL14" s="7"/>
      <c r="BM14" s="7"/>
      <c r="BN14" s="7"/>
      <c r="BO14" s="7"/>
      <c r="BP14" s="7"/>
      <c r="BQ14" s="7"/>
      <c r="BR14" s="7"/>
      <c r="BS14" s="7"/>
      <c r="BT14" s="7"/>
      <c r="BU14" s="7"/>
      <c r="BV14" s="7"/>
      <c r="BW14" s="7"/>
      <c r="BX14" s="7"/>
      <c r="BY14" s="7"/>
      <c r="BZ14" s="7"/>
      <c r="CA14" s="7"/>
      <c r="CB14" s="7"/>
      <c r="CC14" s="7"/>
      <c r="CD14" s="7"/>
      <c r="CE14" s="7"/>
      <c r="CF14" s="7"/>
      <c r="CG14" s="7"/>
      <c r="CH14" s="7"/>
      <c r="CI14" s="7"/>
      <c r="CJ14" s="7"/>
      <c r="CK14" s="7"/>
      <c r="CL14" s="7"/>
      <c r="CM14" s="7"/>
      <c r="CN14" s="7"/>
      <c r="CO14" s="7"/>
      <c r="CP14" s="7"/>
      <c r="CQ14" s="7"/>
      <c r="CR14" s="7"/>
      <c r="CS14" s="7"/>
      <c r="CT14" s="7"/>
    </row>
    <row r="15" spans="1:98" s="5" customFormat="1" ht="21.95" customHeight="1" x14ac:dyDescent="0.25">
      <c r="A15" s="95"/>
      <c r="B15" s="96"/>
      <c r="C15" s="37" t="s">
        <v>7</v>
      </c>
      <c r="D15" s="38"/>
      <c r="E15" s="42">
        <v>256</v>
      </c>
      <c r="F15" s="40" t="str">
        <f>IF(E15="","",IF(AND(E15&gt;200,RANK(E15,$E$11:$E$16)&lt;=2),"TARGET",""))</f>
        <v/>
      </c>
      <c r="G15" s="41" t="str">
        <f t="shared" si="10"/>
        <v/>
      </c>
      <c r="H15" s="44" t="str">
        <f t="shared" si="4"/>
        <v/>
      </c>
      <c r="I15" s="41"/>
      <c r="J15" s="44" t="str">
        <f t="shared" si="5"/>
        <v/>
      </c>
      <c r="K15" s="41"/>
      <c r="L15" s="44" t="str">
        <f t="shared" si="6"/>
        <v/>
      </c>
      <c r="M15" s="33"/>
      <c r="N15" s="41">
        <f>IF(E15="","",E15)</f>
        <v>256</v>
      </c>
      <c r="O15" s="41"/>
      <c r="P15" s="44" t="str">
        <f t="shared" si="7"/>
        <v/>
      </c>
      <c r="Q15" s="41"/>
      <c r="R15" s="44" t="str">
        <f t="shared" si="8"/>
        <v/>
      </c>
      <c r="S15" s="41"/>
      <c r="T15" s="44" t="str">
        <f t="shared" si="9"/>
        <v/>
      </c>
      <c r="V15" s="68"/>
      <c r="W15" s="68"/>
      <c r="X15" s="68"/>
      <c r="Y15" s="68"/>
      <c r="Z15" s="7"/>
      <c r="AA15" s="7"/>
      <c r="AB15" s="7"/>
      <c r="AC15" s="7"/>
      <c r="AD15" s="7"/>
      <c r="AE15" s="7"/>
      <c r="AF15" s="7"/>
      <c r="AG15" s="7"/>
      <c r="AH15" s="7"/>
      <c r="AI15" s="7"/>
      <c r="AJ15" s="7"/>
      <c r="AK15" s="7"/>
      <c r="AL15" s="7"/>
      <c r="AM15" s="7"/>
      <c r="AN15" s="7"/>
      <c r="AO15" s="7"/>
      <c r="AP15" s="7"/>
      <c r="AQ15" s="7"/>
      <c r="AR15" s="7"/>
      <c r="AS15" s="7"/>
      <c r="AT15" s="7"/>
      <c r="AU15" s="7"/>
      <c r="AV15" s="7"/>
      <c r="AW15" s="7"/>
      <c r="AX15" s="7"/>
      <c r="AY15" s="7"/>
      <c r="AZ15" s="7"/>
      <c r="BA15" s="7"/>
      <c r="BB15" s="7"/>
      <c r="BC15" s="7"/>
      <c r="BD15" s="7"/>
      <c r="BE15" s="7"/>
      <c r="BF15" s="7"/>
      <c r="BG15" s="7"/>
      <c r="BH15" s="7"/>
      <c r="BI15" s="7"/>
      <c r="BJ15" s="7"/>
      <c r="BK15" s="7"/>
      <c r="BL15" s="7"/>
      <c r="BM15" s="7"/>
      <c r="BN15" s="7"/>
      <c r="BO15" s="7"/>
      <c r="BP15" s="7"/>
      <c r="BQ15" s="7"/>
      <c r="BR15" s="7"/>
      <c r="BS15" s="7"/>
      <c r="BT15" s="7"/>
      <c r="BU15" s="7"/>
      <c r="BV15" s="7"/>
      <c r="BW15" s="7"/>
      <c r="BX15" s="7"/>
      <c r="BY15" s="7"/>
      <c r="BZ15" s="7"/>
      <c r="CA15" s="7"/>
      <c r="CB15" s="7"/>
      <c r="CC15" s="7"/>
      <c r="CD15" s="7"/>
      <c r="CE15" s="7"/>
      <c r="CF15" s="7"/>
      <c r="CG15" s="7"/>
      <c r="CH15" s="7"/>
      <c r="CI15" s="7"/>
      <c r="CJ15" s="7"/>
      <c r="CK15" s="7"/>
      <c r="CL15" s="7"/>
      <c r="CM15" s="7"/>
      <c r="CN15" s="7"/>
      <c r="CO15" s="7"/>
      <c r="CP15" s="7"/>
      <c r="CQ15" s="7"/>
      <c r="CR15" s="7"/>
      <c r="CS15" s="7"/>
      <c r="CT15" s="7"/>
    </row>
    <row r="16" spans="1:98" s="5" customFormat="1" ht="21.95" customHeight="1" x14ac:dyDescent="0.25">
      <c r="A16" s="97"/>
      <c r="B16" s="98"/>
      <c r="C16" s="37" t="s">
        <v>8</v>
      </c>
      <c r="D16" s="38"/>
      <c r="E16" s="42" t="str">
        <f t="shared" ref="E16" si="11">IF(J56="","",J56)</f>
        <v/>
      </c>
      <c r="F16" s="40" t="str">
        <f>IF(E16="","",IF(AND(E16&gt;200,RANK(E16,$E$11:$E$16)&lt;=2),"TARGET",""))</f>
        <v/>
      </c>
      <c r="G16" s="41" t="str">
        <f t="shared" si="10"/>
        <v/>
      </c>
      <c r="H16" s="44" t="str">
        <f t="shared" si="4"/>
        <v/>
      </c>
      <c r="I16" s="41"/>
      <c r="J16" s="44" t="str">
        <f t="shared" si="5"/>
        <v/>
      </c>
      <c r="K16" s="41"/>
      <c r="L16" s="44" t="str">
        <f t="shared" si="6"/>
        <v/>
      </c>
      <c r="M16" s="33"/>
      <c r="N16" s="41" t="str">
        <f>IF(E16="","",E16)</f>
        <v/>
      </c>
      <c r="O16" s="41"/>
      <c r="P16" s="44" t="str">
        <f t="shared" si="7"/>
        <v/>
      </c>
      <c r="Q16" s="41"/>
      <c r="R16" s="44" t="str">
        <f t="shared" si="8"/>
        <v/>
      </c>
      <c r="S16" s="41"/>
      <c r="T16" s="44" t="str">
        <f t="shared" si="9"/>
        <v/>
      </c>
      <c r="V16" s="69" t="s">
        <v>31</v>
      </c>
      <c r="W16" s="68"/>
      <c r="X16" s="68"/>
      <c r="Y16" s="68"/>
      <c r="Z16" s="7"/>
      <c r="AA16" s="7"/>
      <c r="AB16" s="7"/>
      <c r="AC16" s="7"/>
      <c r="AD16" s="7"/>
      <c r="AE16" s="7"/>
      <c r="AF16" s="7"/>
      <c r="AG16" s="7"/>
      <c r="AH16" s="7"/>
      <c r="AI16" s="7"/>
      <c r="AJ16" s="7"/>
      <c r="AK16" s="7"/>
      <c r="AL16" s="7"/>
      <c r="AM16" s="7"/>
      <c r="AN16" s="7"/>
      <c r="AO16" s="7"/>
      <c r="AP16" s="7"/>
      <c r="AQ16" s="7"/>
      <c r="AR16" s="7"/>
      <c r="AS16" s="7"/>
      <c r="AT16" s="7"/>
      <c r="AU16" s="7"/>
      <c r="AV16" s="7"/>
      <c r="AW16" s="7"/>
      <c r="AX16" s="7"/>
      <c r="AY16" s="7"/>
      <c r="AZ16" s="7"/>
      <c r="BA16" s="7"/>
      <c r="BB16" s="7"/>
      <c r="BC16" s="7"/>
      <c r="BD16" s="7"/>
      <c r="BE16" s="7"/>
      <c r="BF16" s="7"/>
      <c r="BG16" s="7"/>
      <c r="BH16" s="7"/>
      <c r="BI16" s="7"/>
      <c r="BJ16" s="7"/>
      <c r="BK16" s="7"/>
      <c r="BL16" s="7"/>
      <c r="BM16" s="7"/>
      <c r="BN16" s="7"/>
      <c r="BO16" s="7"/>
      <c r="BP16" s="7"/>
      <c r="BQ16" s="7"/>
      <c r="BR16" s="7"/>
      <c r="BS16" s="7"/>
      <c r="BT16" s="7"/>
      <c r="BU16" s="7"/>
      <c r="BV16" s="7"/>
      <c r="BW16" s="7"/>
      <c r="BX16" s="7"/>
      <c r="BY16" s="7"/>
      <c r="BZ16" s="7"/>
      <c r="CA16" s="7"/>
      <c r="CB16" s="7"/>
      <c r="CC16" s="7"/>
      <c r="CD16" s="7"/>
      <c r="CE16" s="7"/>
      <c r="CF16" s="7"/>
      <c r="CG16" s="7"/>
      <c r="CH16" s="7"/>
      <c r="CI16" s="7"/>
      <c r="CJ16" s="7"/>
      <c r="CK16" s="7"/>
      <c r="CL16" s="7"/>
      <c r="CM16" s="7"/>
      <c r="CN16" s="7"/>
      <c r="CO16" s="7"/>
      <c r="CP16" s="7"/>
      <c r="CQ16" s="7"/>
      <c r="CR16" s="7"/>
      <c r="CS16" s="7"/>
      <c r="CT16" s="7"/>
    </row>
    <row r="17" spans="1:98" s="6" customFormat="1" x14ac:dyDescent="0.25">
      <c r="A17" s="21"/>
      <c r="B17" s="21"/>
      <c r="C17" s="49"/>
      <c r="D17" s="22"/>
      <c r="E17" s="23"/>
      <c r="F17" s="23"/>
      <c r="G17" s="24"/>
      <c r="H17" s="25"/>
      <c r="I17" s="26"/>
      <c r="J17" s="26"/>
      <c r="K17" s="26"/>
      <c r="L17" s="25"/>
      <c r="M17" s="27"/>
      <c r="N17" s="27"/>
      <c r="O17" s="27"/>
      <c r="P17" s="27"/>
      <c r="Q17" s="27"/>
      <c r="R17" s="27"/>
      <c r="S17" s="27"/>
      <c r="T17" s="43"/>
      <c r="V17" s="69" t="s">
        <v>29</v>
      </c>
      <c r="W17" s="69" t="s">
        <v>35</v>
      </c>
      <c r="X17" s="69" t="s">
        <v>37</v>
      </c>
      <c r="Y17" s="69" t="s">
        <v>30</v>
      </c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  <c r="CA17" s="3"/>
      <c r="CB17" s="3"/>
      <c r="CC17" s="3"/>
      <c r="CD17" s="3"/>
      <c r="CE17" s="3"/>
      <c r="CF17" s="3"/>
      <c r="CG17" s="3"/>
      <c r="CH17" s="3"/>
      <c r="CI17" s="3"/>
      <c r="CJ17" s="3"/>
      <c r="CK17" s="3"/>
      <c r="CL17" s="3"/>
      <c r="CM17" s="3"/>
      <c r="CN17" s="3"/>
      <c r="CO17" s="3"/>
      <c r="CP17" s="3"/>
      <c r="CQ17" s="3"/>
      <c r="CR17" s="3"/>
      <c r="CS17" s="3"/>
      <c r="CT17" s="3"/>
    </row>
    <row r="18" spans="1:98" s="5" customFormat="1" ht="29.45" customHeight="1" x14ac:dyDescent="0.25">
      <c r="A18" s="99" t="s">
        <v>14</v>
      </c>
      <c r="B18" s="100"/>
      <c r="C18" s="101"/>
      <c r="D18" s="102"/>
      <c r="E18" s="102"/>
      <c r="F18" s="102"/>
      <c r="G18" s="102"/>
      <c r="H18" s="102"/>
      <c r="I18" s="102"/>
      <c r="J18" s="102"/>
      <c r="K18" s="102"/>
      <c r="L18" s="102"/>
      <c r="M18" s="102"/>
      <c r="N18" s="102"/>
      <c r="O18" s="102"/>
      <c r="P18" s="102"/>
      <c r="Q18" s="102"/>
      <c r="R18" s="102"/>
      <c r="S18" s="102"/>
      <c r="T18" s="102"/>
      <c r="V18" s="68" t="str">
        <f>C25</f>
        <v>A_Right Hallux</v>
      </c>
      <c r="W18" s="68" t="str">
        <f>E25</f>
        <v/>
      </c>
      <c r="X18" s="68" t="str">
        <f>G25</f>
        <v/>
      </c>
      <c r="Y18" s="68">
        <f>$Y$5</f>
        <v>200</v>
      </c>
      <c r="Z18" s="7"/>
      <c r="AA18" s="7"/>
      <c r="AB18" s="7"/>
      <c r="AC18" s="7"/>
      <c r="AD18" s="7"/>
      <c r="AE18" s="7"/>
      <c r="AF18" s="7"/>
      <c r="AG18" s="7"/>
      <c r="AH18" s="7"/>
      <c r="AI18" s="7"/>
      <c r="AJ18" s="7"/>
      <c r="AK18" s="7"/>
      <c r="AL18" s="7"/>
      <c r="AM18" s="7"/>
      <c r="AN18" s="7"/>
      <c r="AO18" s="7"/>
      <c r="AP18" s="7"/>
      <c r="AQ18" s="7"/>
      <c r="AR18" s="7"/>
      <c r="AS18" s="7"/>
      <c r="AT18" s="7"/>
      <c r="AU18" s="7"/>
      <c r="AV18" s="7"/>
      <c r="AW18" s="7"/>
      <c r="AX18" s="7"/>
      <c r="AY18" s="7"/>
      <c r="AZ18" s="7"/>
      <c r="BA18" s="7"/>
      <c r="BB18" s="7"/>
      <c r="BC18" s="7"/>
      <c r="BD18" s="7"/>
      <c r="BE18" s="7"/>
      <c r="BF18" s="7"/>
      <c r="BG18" s="7"/>
      <c r="BH18" s="7"/>
      <c r="BI18" s="7"/>
      <c r="BJ18" s="7"/>
      <c r="BK18" s="7"/>
      <c r="BL18" s="7"/>
      <c r="BM18" s="7"/>
      <c r="BN18" s="7"/>
      <c r="BO18" s="7"/>
      <c r="BP18" s="7"/>
      <c r="BQ18" s="7"/>
      <c r="BR18" s="7"/>
      <c r="BS18" s="7"/>
      <c r="BT18" s="7"/>
      <c r="BU18" s="7"/>
      <c r="BV18" s="7"/>
      <c r="BW18" s="7"/>
      <c r="BX18" s="7"/>
      <c r="BY18" s="7"/>
      <c r="BZ18" s="7"/>
      <c r="CA18" s="7"/>
      <c r="CB18" s="7"/>
      <c r="CC18" s="7"/>
      <c r="CD18" s="7"/>
      <c r="CE18" s="7"/>
      <c r="CF18" s="7"/>
      <c r="CG18" s="7"/>
      <c r="CH18" s="7"/>
      <c r="CI18" s="7"/>
      <c r="CJ18" s="7"/>
      <c r="CK18" s="7"/>
      <c r="CL18" s="7"/>
      <c r="CM18" s="7"/>
      <c r="CN18" s="7"/>
      <c r="CO18" s="7"/>
      <c r="CP18" s="7"/>
      <c r="CQ18" s="7"/>
      <c r="CR18" s="7"/>
      <c r="CS18" s="7"/>
      <c r="CT18" s="7"/>
    </row>
    <row r="19" spans="1:98" s="5" customFormat="1" x14ac:dyDescent="0.25">
      <c r="A19" s="19"/>
      <c r="B19" s="19"/>
      <c r="C19" s="28"/>
      <c r="D19" s="28"/>
      <c r="E19" s="29"/>
      <c r="F19" s="29"/>
      <c r="G19" s="20"/>
      <c r="H19" s="30"/>
      <c r="I19" s="31"/>
      <c r="J19" s="31"/>
      <c r="K19" s="31"/>
      <c r="L19" s="30"/>
      <c r="M19" s="30"/>
      <c r="N19" s="30"/>
      <c r="O19" s="30"/>
      <c r="P19" s="30"/>
      <c r="Q19" s="30"/>
      <c r="R19" s="30"/>
      <c r="S19" s="30"/>
      <c r="T19" s="32"/>
      <c r="V19" s="68" t="str">
        <f t="shared" ref="V19:V23" si="12">C26</f>
        <v>B_Right Metatarsal 1</v>
      </c>
      <c r="W19" s="68" t="str">
        <f t="shared" ref="W19:W23" si="13">E26</f>
        <v/>
      </c>
      <c r="X19" s="68" t="str">
        <f t="shared" ref="X19:X23" si="14">G26</f>
        <v/>
      </c>
      <c r="Y19" s="68">
        <f t="shared" ref="Y19:Y23" si="15">$Y$5</f>
        <v>200</v>
      </c>
      <c r="Z19" s="7"/>
      <c r="AA19" s="7"/>
      <c r="AB19" s="7"/>
      <c r="AC19" s="7"/>
      <c r="AD19" s="7"/>
      <c r="AE19" s="7"/>
      <c r="AF19" s="7"/>
      <c r="AG19" s="7"/>
      <c r="AH19" s="7"/>
      <c r="AI19" s="7"/>
      <c r="AJ19" s="7"/>
      <c r="AK19" s="7"/>
      <c r="AL19" s="7"/>
      <c r="AM19" s="7"/>
      <c r="AN19" s="7"/>
      <c r="AO19" s="7"/>
      <c r="AP19" s="7"/>
      <c r="AQ19" s="7"/>
      <c r="AR19" s="7"/>
      <c r="AS19" s="7"/>
      <c r="AT19" s="7"/>
      <c r="AU19" s="7"/>
      <c r="AV19" s="7"/>
      <c r="AW19" s="7"/>
      <c r="AX19" s="7"/>
      <c r="AY19" s="7"/>
      <c r="AZ19" s="7"/>
      <c r="BA19" s="7"/>
      <c r="BB19" s="7"/>
      <c r="BC19" s="7"/>
      <c r="BD19" s="7"/>
      <c r="BE19" s="7"/>
      <c r="BF19" s="7"/>
      <c r="BG19" s="7"/>
      <c r="BH19" s="7"/>
      <c r="BI19" s="7"/>
      <c r="BJ19" s="7"/>
      <c r="BK19" s="7"/>
      <c r="BL19" s="7"/>
      <c r="BM19" s="7"/>
      <c r="BN19" s="7"/>
      <c r="BO19" s="7"/>
      <c r="BP19" s="7"/>
      <c r="BQ19" s="7"/>
      <c r="BR19" s="7"/>
      <c r="BS19" s="7"/>
      <c r="BT19" s="7"/>
      <c r="BU19" s="7"/>
      <c r="BV19" s="7"/>
      <c r="BW19" s="7"/>
      <c r="BX19" s="7"/>
      <c r="BY19" s="7"/>
      <c r="BZ19" s="7"/>
      <c r="CA19" s="7"/>
      <c r="CB19" s="7"/>
      <c r="CC19" s="7"/>
      <c r="CD19" s="7"/>
      <c r="CE19" s="7"/>
      <c r="CF19" s="7"/>
      <c r="CG19" s="7"/>
      <c r="CH19" s="7"/>
      <c r="CI19" s="7"/>
      <c r="CJ19" s="7"/>
      <c r="CK19" s="7"/>
      <c r="CL19" s="7"/>
      <c r="CM19" s="7"/>
      <c r="CN19" s="7"/>
      <c r="CO19" s="7"/>
      <c r="CP19" s="7"/>
      <c r="CQ19" s="7"/>
      <c r="CR19" s="7"/>
      <c r="CS19" s="7"/>
      <c r="CT19" s="7"/>
    </row>
    <row r="20" spans="1:98" s="10" customFormat="1" x14ac:dyDescent="0.25">
      <c r="A20"/>
      <c r="B20"/>
      <c r="C20"/>
      <c r="D20"/>
      <c r="E20"/>
      <c r="F20"/>
      <c r="G20" s="4"/>
      <c r="H20"/>
      <c r="I20" s="2"/>
      <c r="J20" s="2"/>
      <c r="K20" s="2"/>
      <c r="L20"/>
      <c r="M20"/>
      <c r="N20"/>
      <c r="O20"/>
      <c r="P20"/>
      <c r="Q20"/>
      <c r="R20"/>
      <c r="S20"/>
      <c r="T20"/>
      <c r="V20" s="68" t="str">
        <f t="shared" si="12"/>
        <v>C_Right  Meta 2-3</v>
      </c>
      <c r="W20" s="68" t="str">
        <f t="shared" si="13"/>
        <v/>
      </c>
      <c r="X20" s="68" t="str">
        <f t="shared" si="14"/>
        <v/>
      </c>
      <c r="Y20" s="68">
        <f t="shared" si="15"/>
        <v>200</v>
      </c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7"/>
      <c r="AV20" s="7"/>
      <c r="AW20" s="7"/>
      <c r="AX20" s="7"/>
      <c r="AY20" s="7"/>
      <c r="AZ20" s="7"/>
      <c r="BA20" s="7"/>
      <c r="BB20" s="7"/>
      <c r="BC20" s="7"/>
      <c r="BD20" s="7"/>
      <c r="BE20" s="7"/>
      <c r="BF20" s="7"/>
      <c r="BG20" s="7"/>
      <c r="BH20" s="7"/>
      <c r="BI20" s="7"/>
      <c r="BJ20" s="7"/>
      <c r="BK20" s="7"/>
      <c r="BL20" s="7"/>
      <c r="BM20" s="7"/>
      <c r="BN20" s="7"/>
      <c r="BO20" s="7"/>
      <c r="BP20" s="7"/>
      <c r="BQ20" s="7"/>
      <c r="BR20" s="7"/>
      <c r="BS20" s="7"/>
      <c r="BT20" s="7"/>
      <c r="BU20" s="7"/>
      <c r="BV20" s="7"/>
      <c r="BW20" s="7"/>
      <c r="BX20" s="7"/>
      <c r="BY20" s="7"/>
      <c r="BZ20" s="7"/>
      <c r="CA20" s="7"/>
      <c r="CB20" s="7"/>
      <c r="CC20" s="7"/>
      <c r="CD20" s="7"/>
      <c r="CE20" s="7"/>
      <c r="CF20" s="7"/>
      <c r="CG20" s="7"/>
      <c r="CH20" s="7"/>
      <c r="CI20" s="7"/>
      <c r="CJ20" s="7"/>
      <c r="CK20" s="7"/>
      <c r="CL20" s="7"/>
      <c r="CM20" s="7"/>
      <c r="CN20" s="7"/>
      <c r="CO20" s="7"/>
      <c r="CP20" s="7"/>
      <c r="CQ20" s="7"/>
      <c r="CR20" s="7"/>
      <c r="CS20" s="7"/>
      <c r="CT20" s="7"/>
    </row>
    <row r="21" spans="1:98" s="10" customFormat="1" x14ac:dyDescent="0.25">
      <c r="A21"/>
      <c r="B21"/>
      <c r="C21"/>
      <c r="D21"/>
      <c r="E21"/>
      <c r="F21"/>
      <c r="G21" s="4"/>
      <c r="H21"/>
      <c r="I21" s="2"/>
      <c r="J21" s="2"/>
      <c r="K21" s="2"/>
      <c r="L21"/>
      <c r="M21"/>
      <c r="N21"/>
      <c r="O21"/>
      <c r="P21"/>
      <c r="Q21"/>
      <c r="R21"/>
      <c r="S21"/>
      <c r="T21"/>
      <c r="V21" s="68" t="str">
        <f t="shared" si="12"/>
        <v>D_Right Meta 4-5</v>
      </c>
      <c r="W21" s="68" t="str">
        <f t="shared" si="13"/>
        <v/>
      </c>
      <c r="X21" s="68" t="str">
        <f t="shared" si="14"/>
        <v/>
      </c>
      <c r="Y21" s="68">
        <f t="shared" si="15"/>
        <v>200</v>
      </c>
      <c r="Z21" s="7"/>
      <c r="AA21" s="7"/>
      <c r="AB21" s="7"/>
      <c r="AC21" s="7"/>
      <c r="AD21" s="7"/>
      <c r="AE21" s="7"/>
      <c r="AF21" s="7"/>
      <c r="AG21" s="7"/>
      <c r="AH21" s="7"/>
      <c r="AI21" s="7"/>
      <c r="AJ21" s="7"/>
      <c r="AK21" s="7"/>
      <c r="AL21" s="7"/>
      <c r="AM21" s="7"/>
      <c r="AN21" s="7"/>
      <c r="AO21" s="7"/>
      <c r="AP21" s="7"/>
      <c r="AQ21" s="7"/>
      <c r="AR21" s="7"/>
      <c r="AS21" s="7"/>
      <c r="AT21" s="7"/>
      <c r="AU21" s="7"/>
      <c r="AV21" s="7"/>
      <c r="AW21" s="7"/>
      <c r="AX21" s="7"/>
      <c r="AY21" s="7"/>
      <c r="AZ21" s="7"/>
      <c r="BA21" s="7"/>
      <c r="BB21" s="7"/>
      <c r="BC21" s="7"/>
      <c r="BD21" s="7"/>
      <c r="BE21" s="7"/>
      <c r="BF21" s="7"/>
      <c r="BG21" s="7"/>
      <c r="BH21" s="7"/>
      <c r="BI21" s="7"/>
      <c r="BJ21" s="7"/>
      <c r="BK21" s="7"/>
      <c r="BL21" s="7"/>
      <c r="BM21" s="7"/>
      <c r="BN21" s="7"/>
      <c r="BO21" s="7"/>
      <c r="BP21" s="7"/>
      <c r="BQ21" s="7"/>
      <c r="BR21" s="7"/>
      <c r="BS21" s="7"/>
      <c r="BT21" s="7"/>
      <c r="BU21" s="7"/>
      <c r="BV21" s="7"/>
      <c r="BW21" s="7"/>
      <c r="BX21" s="7"/>
      <c r="BY21" s="7"/>
      <c r="BZ21" s="7"/>
      <c r="CA21" s="7"/>
      <c r="CB21" s="7"/>
      <c r="CC21" s="7"/>
      <c r="CD21" s="7"/>
      <c r="CE21" s="7"/>
      <c r="CF21" s="7"/>
      <c r="CG21" s="7"/>
      <c r="CH21" s="7"/>
      <c r="CI21" s="7"/>
      <c r="CJ21" s="7"/>
      <c r="CK21" s="7"/>
      <c r="CL21" s="7"/>
      <c r="CM21" s="7"/>
      <c r="CN21" s="7"/>
      <c r="CO21" s="7"/>
      <c r="CP21" s="7"/>
      <c r="CQ21" s="7"/>
      <c r="CR21" s="7"/>
      <c r="CS21" s="7"/>
      <c r="CT21" s="7"/>
    </row>
    <row r="22" spans="1:98" s="5" customFormat="1" ht="14.45" customHeight="1" x14ac:dyDescent="0.25">
      <c r="A22"/>
      <c r="B22"/>
      <c r="C22"/>
      <c r="D22" s="85" t="s">
        <v>130</v>
      </c>
      <c r="E22" s="86"/>
      <c r="F22" s="86"/>
      <c r="G22" s="86"/>
      <c r="H22" s="86"/>
      <c r="I22" s="86"/>
      <c r="J22" s="86"/>
      <c r="K22" s="86"/>
      <c r="L22" s="87"/>
      <c r="M22"/>
      <c r="N22" s="85" t="s">
        <v>131</v>
      </c>
      <c r="O22" s="86"/>
      <c r="P22" s="86"/>
      <c r="Q22" s="86"/>
      <c r="R22" s="86"/>
      <c r="S22" s="86"/>
      <c r="T22" s="87"/>
      <c r="V22" s="68" t="str">
        <f t="shared" si="12"/>
        <v>E_Right_Midfoot</v>
      </c>
      <c r="W22" s="68" t="str">
        <f t="shared" si="13"/>
        <v/>
      </c>
      <c r="X22" s="68" t="str">
        <f t="shared" si="14"/>
        <v/>
      </c>
      <c r="Y22" s="68">
        <f t="shared" si="15"/>
        <v>200</v>
      </c>
      <c r="Z22" s="7"/>
      <c r="AA22" s="7"/>
      <c r="AB22" s="7"/>
      <c r="AC22" s="7"/>
      <c r="AD22" s="7"/>
      <c r="AE22" s="7"/>
      <c r="AF22" s="7"/>
      <c r="AG22" s="7"/>
      <c r="AH22" s="7"/>
      <c r="AI22" s="7"/>
      <c r="AJ22" s="7"/>
      <c r="AK22" s="7"/>
      <c r="AL22" s="7"/>
      <c r="AM22" s="7"/>
      <c r="AN22" s="7"/>
      <c r="AO22" s="7"/>
      <c r="AP22" s="7"/>
      <c r="AQ22" s="7"/>
      <c r="AR22" s="7"/>
      <c r="AS22" s="7"/>
      <c r="AT22" s="7"/>
      <c r="AU22" s="7"/>
      <c r="AV22" s="7"/>
      <c r="AW22" s="7"/>
      <c r="AX22" s="7"/>
      <c r="AY22" s="7"/>
      <c r="AZ22" s="7"/>
      <c r="BA22" s="7"/>
      <c r="BB22" s="7"/>
      <c r="BC22" s="7"/>
      <c r="BD22" s="7"/>
      <c r="BE22" s="7"/>
      <c r="BF22" s="7"/>
      <c r="BG22" s="7"/>
      <c r="BH22" s="7"/>
      <c r="BI22" s="7"/>
      <c r="BJ22" s="7"/>
      <c r="BK22" s="7"/>
      <c r="BL22" s="7"/>
      <c r="BM22" s="7"/>
      <c r="BN22" s="7"/>
      <c r="BO22" s="7"/>
      <c r="BP22" s="7"/>
      <c r="BQ22" s="7"/>
      <c r="BR22" s="7"/>
      <c r="BS22" s="7"/>
      <c r="BT22" s="7"/>
      <c r="BU22" s="7"/>
      <c r="BV22" s="7"/>
      <c r="BW22" s="7"/>
      <c r="BX22" s="7"/>
      <c r="BY22" s="7"/>
      <c r="BZ22" s="7"/>
      <c r="CA22" s="7"/>
      <c r="CB22" s="7"/>
      <c r="CC22" s="7"/>
      <c r="CD22" s="7"/>
      <c r="CE22" s="7"/>
      <c r="CF22" s="7"/>
      <c r="CG22" s="7"/>
      <c r="CH22" s="7"/>
      <c r="CI22" s="7"/>
      <c r="CJ22" s="7"/>
      <c r="CK22" s="7"/>
      <c r="CL22" s="7"/>
      <c r="CM22" s="7"/>
      <c r="CN22" s="7"/>
      <c r="CO22" s="7"/>
      <c r="CP22" s="7"/>
      <c r="CQ22" s="7"/>
      <c r="CR22" s="7"/>
      <c r="CS22" s="7"/>
      <c r="CT22" s="7"/>
    </row>
    <row r="23" spans="1:98" s="5" customFormat="1" ht="24" customHeight="1" x14ac:dyDescent="0.25">
      <c r="A23" s="93" t="s">
        <v>11</v>
      </c>
      <c r="B23" s="94"/>
      <c r="C23" s="34"/>
      <c r="D23" s="35"/>
      <c r="E23" s="61" t="s">
        <v>35</v>
      </c>
      <c r="F23" s="62" t="s">
        <v>24</v>
      </c>
      <c r="G23" s="88" t="s">
        <v>37</v>
      </c>
      <c r="H23" s="89"/>
      <c r="I23" s="88" t="s">
        <v>38</v>
      </c>
      <c r="J23" s="89"/>
      <c r="K23" s="88" t="s">
        <v>39</v>
      </c>
      <c r="L23" s="89"/>
      <c r="M23" s="63"/>
      <c r="N23" s="60" t="s">
        <v>132</v>
      </c>
      <c r="O23" s="88" t="s">
        <v>37</v>
      </c>
      <c r="P23" s="89"/>
      <c r="Q23" s="88" t="s">
        <v>38</v>
      </c>
      <c r="R23" s="89"/>
      <c r="S23" s="88" t="s">
        <v>39</v>
      </c>
      <c r="T23" s="89"/>
      <c r="V23" s="68" t="str">
        <f t="shared" si="12"/>
        <v>F_Right Heel</v>
      </c>
      <c r="W23" s="68" t="str">
        <f t="shared" si="13"/>
        <v/>
      </c>
      <c r="X23" s="68" t="str">
        <f t="shared" si="14"/>
        <v/>
      </c>
      <c r="Y23" s="68">
        <f t="shared" si="15"/>
        <v>200</v>
      </c>
      <c r="Z23" s="7"/>
      <c r="AA23" s="7"/>
      <c r="AB23" s="7"/>
      <c r="AC23" s="7"/>
      <c r="AD23" s="7"/>
      <c r="AE23" s="7"/>
      <c r="AF23" s="7"/>
      <c r="AG23" s="7"/>
      <c r="AH23" s="7"/>
      <c r="AI23" s="7"/>
      <c r="AJ23" s="7"/>
      <c r="AK23" s="7"/>
      <c r="AL23" s="7"/>
      <c r="AM23" s="7"/>
      <c r="AN23" s="7"/>
      <c r="AO23" s="7"/>
      <c r="AP23" s="7"/>
      <c r="AQ23" s="7"/>
      <c r="AR23" s="7"/>
      <c r="AS23" s="7"/>
      <c r="AT23" s="7"/>
      <c r="AU23" s="7"/>
      <c r="AV23" s="7"/>
      <c r="AW23" s="7"/>
      <c r="AX23" s="7"/>
      <c r="AY23" s="7"/>
      <c r="AZ23" s="7"/>
      <c r="BA23" s="7"/>
      <c r="BB23" s="7"/>
      <c r="BC23" s="7"/>
      <c r="BD23" s="7"/>
      <c r="BE23" s="7"/>
      <c r="BF23" s="7"/>
      <c r="BG23" s="7"/>
      <c r="BH23" s="7"/>
      <c r="BI23" s="7"/>
      <c r="BJ23" s="7"/>
      <c r="BK23" s="7"/>
      <c r="BL23" s="7"/>
      <c r="BM23" s="7"/>
      <c r="BN23" s="7"/>
      <c r="BO23" s="7"/>
      <c r="BP23" s="7"/>
      <c r="BQ23" s="7"/>
      <c r="BR23" s="7"/>
      <c r="BS23" s="7"/>
      <c r="BT23" s="7"/>
      <c r="BU23" s="7"/>
      <c r="BV23" s="7"/>
      <c r="BW23" s="7"/>
      <c r="BX23" s="7"/>
      <c r="BY23" s="7"/>
      <c r="BZ23" s="7"/>
      <c r="CA23" s="7"/>
      <c r="CB23" s="7"/>
      <c r="CC23" s="7"/>
      <c r="CD23" s="7"/>
      <c r="CE23" s="7"/>
      <c r="CF23" s="7"/>
      <c r="CG23" s="7"/>
      <c r="CH23" s="7"/>
      <c r="CI23" s="7"/>
      <c r="CJ23" s="7"/>
      <c r="CK23" s="7"/>
      <c r="CL23" s="7"/>
      <c r="CM23" s="7"/>
      <c r="CN23" s="7"/>
      <c r="CO23" s="7"/>
      <c r="CP23" s="7"/>
      <c r="CQ23" s="7"/>
      <c r="CR23" s="7"/>
      <c r="CS23" s="7"/>
      <c r="CT23" s="7"/>
    </row>
    <row r="24" spans="1:98" s="5" customFormat="1" ht="48" x14ac:dyDescent="0.25">
      <c r="A24" s="95"/>
      <c r="B24" s="96"/>
      <c r="C24" s="34"/>
      <c r="D24" s="35"/>
      <c r="E24" s="36" t="s">
        <v>10</v>
      </c>
      <c r="F24" s="36" t="s">
        <v>134</v>
      </c>
      <c r="G24" s="36" t="s">
        <v>10</v>
      </c>
      <c r="H24" s="36" t="s">
        <v>34</v>
      </c>
      <c r="I24" s="36" t="s">
        <v>10</v>
      </c>
      <c r="J24" s="36" t="s">
        <v>34</v>
      </c>
      <c r="K24" s="36" t="s">
        <v>10</v>
      </c>
      <c r="L24" s="36" t="s">
        <v>34</v>
      </c>
      <c r="M24" s="63"/>
      <c r="N24" s="36" t="s">
        <v>10</v>
      </c>
      <c r="O24" s="36" t="s">
        <v>10</v>
      </c>
      <c r="P24" s="36" t="s">
        <v>133</v>
      </c>
      <c r="Q24" s="36" t="s">
        <v>10</v>
      </c>
      <c r="R24" s="36" t="s">
        <v>133</v>
      </c>
      <c r="S24" s="36" t="s">
        <v>10</v>
      </c>
      <c r="T24" s="36" t="s">
        <v>133</v>
      </c>
      <c r="V24" s="7"/>
      <c r="W24" s="7"/>
      <c r="X24" s="7"/>
      <c r="Y24" s="7"/>
      <c r="Z24" s="7"/>
      <c r="AA24" s="7"/>
      <c r="AB24" s="7"/>
      <c r="AC24" s="7"/>
      <c r="AD24" s="7"/>
      <c r="AE24" s="7"/>
      <c r="AF24" s="7"/>
      <c r="AG24" s="7"/>
      <c r="AH24" s="7"/>
      <c r="AI24" s="7"/>
      <c r="AJ24" s="7"/>
      <c r="AK24" s="7"/>
      <c r="AL24" s="7"/>
      <c r="AM24" s="7"/>
      <c r="AN24" s="7"/>
      <c r="AO24" s="7"/>
      <c r="AP24" s="7"/>
      <c r="AQ24" s="7"/>
      <c r="AR24" s="7"/>
      <c r="AS24" s="7"/>
      <c r="AT24" s="7"/>
      <c r="AU24" s="7"/>
      <c r="AV24" s="7"/>
      <c r="AW24" s="7"/>
      <c r="AX24" s="7"/>
      <c r="AY24" s="7"/>
      <c r="AZ24" s="7"/>
      <c r="BA24" s="7"/>
      <c r="BB24" s="7"/>
      <c r="BC24" s="7"/>
      <c r="BD24" s="7"/>
      <c r="BE24" s="7"/>
      <c r="BF24" s="7"/>
      <c r="BG24" s="7"/>
      <c r="BH24" s="7"/>
      <c r="BI24" s="7"/>
      <c r="BJ24" s="7"/>
      <c r="BK24" s="7"/>
      <c r="BL24" s="7"/>
      <c r="BM24" s="7"/>
      <c r="BN24" s="7"/>
      <c r="BO24" s="7"/>
      <c r="BP24" s="7"/>
      <c r="BQ24" s="7"/>
      <c r="BR24" s="7"/>
      <c r="BS24" s="7"/>
      <c r="BT24" s="7"/>
      <c r="BU24" s="7"/>
      <c r="BV24" s="7"/>
      <c r="BW24" s="7"/>
      <c r="BX24" s="7"/>
      <c r="BY24" s="7"/>
      <c r="BZ24" s="7"/>
      <c r="CA24" s="7"/>
      <c r="CB24" s="7"/>
      <c r="CC24" s="7"/>
      <c r="CD24" s="7"/>
      <c r="CE24" s="7"/>
      <c r="CF24" s="7"/>
      <c r="CG24" s="7"/>
      <c r="CH24" s="7"/>
      <c r="CI24" s="7"/>
      <c r="CJ24" s="7"/>
      <c r="CK24" s="7"/>
      <c r="CL24" s="7"/>
      <c r="CM24" s="7"/>
      <c r="CN24" s="7"/>
      <c r="CO24" s="7"/>
      <c r="CP24" s="7"/>
      <c r="CQ24" s="7"/>
      <c r="CR24" s="7"/>
      <c r="CS24" s="7"/>
      <c r="CT24" s="7"/>
    </row>
    <row r="25" spans="1:98" s="5" customFormat="1" ht="21.95" customHeight="1" x14ac:dyDescent="0.25">
      <c r="A25" s="95"/>
      <c r="B25" s="96"/>
      <c r="C25" s="37" t="s">
        <v>0</v>
      </c>
      <c r="D25" s="38"/>
      <c r="E25" s="39" t="str">
        <f t="shared" ref="E25:E30" si="16">IF(J43="","",J43)</f>
        <v/>
      </c>
      <c r="F25" s="40" t="str">
        <f>IF(E25="","",IF(AND(E25&gt;200,RANK(E25,$E$25:$E$30)&lt;=2),"TARGET",""))</f>
        <v/>
      </c>
      <c r="G25" s="41" t="str">
        <f t="shared" ref="G25:G30" si="17">IF(J60="","",J60)</f>
        <v/>
      </c>
      <c r="H25" s="44" t="str">
        <f t="shared" ref="H25:H30" si="18">IF(OR($E25="",G25=""),"",((G25-$E25)/$E25)*100)</f>
        <v/>
      </c>
      <c r="I25" s="41"/>
      <c r="J25" s="44" t="str">
        <f t="shared" ref="J25:J30" si="19">IF(OR($E25="",I25=""),"",((I25-$E25)/$E25)*100)</f>
        <v/>
      </c>
      <c r="K25" s="41"/>
      <c r="L25" s="44" t="str">
        <f t="shared" ref="L25:L30" si="20">IF(OR($E25="",K25=""),"",((K25-$E25)/$E25)*100)</f>
        <v/>
      </c>
      <c r="M25" s="33"/>
      <c r="N25" s="41" t="str">
        <f>IF(E25="","",E25)</f>
        <v/>
      </c>
      <c r="O25" s="41"/>
      <c r="P25" s="44" t="str">
        <f t="shared" ref="P25:P30" si="21">IF(OR($N25="",O25=""),"",((O25-$N25)/$N25)*100)</f>
        <v/>
      </c>
      <c r="Q25" s="41"/>
      <c r="R25" s="44" t="str">
        <f t="shared" ref="R25:R30" si="22">IF(OR($N25="",Q25=""),"",((Q25-$N25)/$N25)*100)</f>
        <v/>
      </c>
      <c r="S25" s="41"/>
      <c r="T25" s="44" t="str">
        <f t="shared" ref="T25:T30" si="23">IF(OR($N25="",S25=""),"",((S25-$N25)/$N25)*100)</f>
        <v/>
      </c>
      <c r="V25" s="7"/>
      <c r="W25" s="7"/>
      <c r="X25" s="7"/>
      <c r="Y25" s="7"/>
      <c r="Z25" s="7"/>
      <c r="AA25" s="7"/>
      <c r="AB25" s="7"/>
      <c r="AC25" s="7"/>
      <c r="AD25" s="7"/>
      <c r="AE25" s="7"/>
      <c r="AF25" s="7"/>
      <c r="AG25" s="7"/>
      <c r="AH25" s="7"/>
      <c r="AI25" s="7"/>
      <c r="AJ25" s="7"/>
      <c r="AK25" s="7"/>
      <c r="AL25" s="7"/>
      <c r="AM25" s="7"/>
      <c r="AN25" s="7"/>
      <c r="AO25" s="7"/>
      <c r="AP25" s="7"/>
      <c r="AQ25" s="7"/>
      <c r="AR25" s="7"/>
      <c r="AS25" s="7"/>
      <c r="AT25" s="7"/>
      <c r="AU25" s="7"/>
      <c r="AV25" s="7"/>
      <c r="AW25" s="7"/>
      <c r="AX25" s="7"/>
      <c r="AY25" s="7"/>
      <c r="AZ25" s="7"/>
      <c r="BA25" s="7"/>
      <c r="BB25" s="7"/>
      <c r="BC25" s="7"/>
      <c r="BD25" s="7"/>
      <c r="BE25" s="7"/>
      <c r="BF25" s="7"/>
      <c r="BG25" s="7"/>
      <c r="BH25" s="7"/>
      <c r="BI25" s="7"/>
      <c r="BJ25" s="7"/>
      <c r="BK25" s="7"/>
      <c r="BL25" s="7"/>
      <c r="BM25" s="7"/>
      <c r="BN25" s="7"/>
      <c r="BO25" s="7"/>
      <c r="BP25" s="7"/>
      <c r="BQ25" s="7"/>
      <c r="BR25" s="7"/>
      <c r="BS25" s="7"/>
      <c r="BT25" s="7"/>
      <c r="BU25" s="7"/>
      <c r="BV25" s="7"/>
      <c r="BW25" s="7"/>
      <c r="BX25" s="7"/>
      <c r="BY25" s="7"/>
      <c r="BZ25" s="7"/>
      <c r="CA25" s="7"/>
      <c r="CB25" s="7"/>
      <c r="CC25" s="7"/>
      <c r="CD25" s="7"/>
      <c r="CE25" s="7"/>
      <c r="CF25" s="7"/>
      <c r="CG25" s="7"/>
      <c r="CH25" s="7"/>
      <c r="CI25" s="7"/>
      <c r="CJ25" s="7"/>
      <c r="CK25" s="7"/>
      <c r="CL25" s="7"/>
      <c r="CM25" s="7"/>
      <c r="CN25" s="7"/>
      <c r="CO25" s="7"/>
      <c r="CP25" s="7"/>
      <c r="CQ25" s="7"/>
      <c r="CR25" s="7"/>
      <c r="CS25" s="7"/>
      <c r="CT25" s="7"/>
    </row>
    <row r="26" spans="1:98" s="5" customFormat="1" ht="21.95" customHeight="1" x14ac:dyDescent="0.25">
      <c r="A26" s="95"/>
      <c r="B26" s="96"/>
      <c r="C26" s="37" t="s">
        <v>17</v>
      </c>
      <c r="D26" s="38"/>
      <c r="E26" s="39" t="str">
        <f t="shared" si="16"/>
        <v/>
      </c>
      <c r="F26" s="40" t="str">
        <f>IF(E26="","",IF(AND(E26&gt;200,RANK(E26,$E$25:$E$30)&lt;=2),"TARGET",""))</f>
        <v/>
      </c>
      <c r="G26" s="41" t="str">
        <f t="shared" si="17"/>
        <v/>
      </c>
      <c r="H26" s="44" t="str">
        <f t="shared" si="18"/>
        <v/>
      </c>
      <c r="I26" s="41"/>
      <c r="J26" s="44" t="str">
        <f t="shared" si="19"/>
        <v/>
      </c>
      <c r="K26" s="41"/>
      <c r="L26" s="44" t="str">
        <f t="shared" si="20"/>
        <v/>
      </c>
      <c r="M26" s="33"/>
      <c r="N26" s="41" t="str">
        <f>IF(E26="","",E26)</f>
        <v/>
      </c>
      <c r="O26" s="41"/>
      <c r="P26" s="44" t="str">
        <f t="shared" si="21"/>
        <v/>
      </c>
      <c r="Q26" s="41"/>
      <c r="R26" s="44" t="str">
        <f t="shared" si="22"/>
        <v/>
      </c>
      <c r="S26" s="41"/>
      <c r="T26" s="44" t="str">
        <f t="shared" si="23"/>
        <v/>
      </c>
      <c r="V26" s="7"/>
      <c r="W26" s="7"/>
      <c r="X26" s="7"/>
      <c r="Y26" s="7"/>
      <c r="Z26" s="7"/>
      <c r="AA26" s="7"/>
      <c r="AB26" s="7"/>
      <c r="AC26" s="7"/>
      <c r="AD26" s="7"/>
      <c r="AE26" s="7"/>
      <c r="AF26" s="7"/>
      <c r="AG26" s="7"/>
      <c r="AH26" s="7"/>
      <c r="AI26" s="7"/>
      <c r="AJ26" s="7"/>
      <c r="AK26" s="7"/>
      <c r="AL26" s="7"/>
      <c r="AM26" s="7"/>
      <c r="AN26" s="7"/>
      <c r="AO26" s="7"/>
      <c r="AP26" s="7"/>
      <c r="AQ26" s="7"/>
      <c r="AR26" s="7"/>
      <c r="AS26" s="7"/>
      <c r="AT26" s="7"/>
      <c r="AU26" s="7"/>
      <c r="AV26" s="7"/>
      <c r="AW26" s="7"/>
      <c r="AX26" s="7"/>
      <c r="AY26" s="7"/>
      <c r="AZ26" s="7"/>
      <c r="BA26" s="7"/>
      <c r="BB26" s="7"/>
      <c r="BC26" s="7"/>
      <c r="BD26" s="7"/>
      <c r="BE26" s="7"/>
      <c r="BF26" s="7"/>
      <c r="BG26" s="7"/>
      <c r="BH26" s="7"/>
      <c r="BI26" s="7"/>
      <c r="BJ26" s="7"/>
      <c r="BK26" s="7"/>
      <c r="BL26" s="7"/>
      <c r="BM26" s="7"/>
      <c r="BN26" s="7"/>
      <c r="BO26" s="7"/>
      <c r="BP26" s="7"/>
      <c r="BQ26" s="7"/>
      <c r="BR26" s="7"/>
      <c r="BS26" s="7"/>
      <c r="BT26" s="7"/>
      <c r="BU26" s="7"/>
      <c r="BV26" s="7"/>
      <c r="BW26" s="7"/>
      <c r="BX26" s="7"/>
      <c r="BY26" s="7"/>
      <c r="BZ26" s="7"/>
      <c r="CA26" s="7"/>
      <c r="CB26" s="7"/>
      <c r="CC26" s="7"/>
      <c r="CD26" s="7"/>
      <c r="CE26" s="7"/>
      <c r="CF26" s="7"/>
      <c r="CG26" s="7"/>
      <c r="CH26" s="7"/>
      <c r="CI26" s="7"/>
      <c r="CJ26" s="7"/>
      <c r="CK26" s="7"/>
      <c r="CL26" s="7"/>
      <c r="CM26" s="7"/>
      <c r="CN26" s="7"/>
      <c r="CO26" s="7"/>
      <c r="CP26" s="7"/>
      <c r="CQ26" s="7"/>
      <c r="CR26" s="7"/>
      <c r="CS26" s="7"/>
      <c r="CT26" s="7"/>
    </row>
    <row r="27" spans="1:98" s="5" customFormat="1" ht="21.95" customHeight="1" x14ac:dyDescent="0.25">
      <c r="A27" s="95"/>
      <c r="B27" s="96"/>
      <c r="C27" s="37" t="s">
        <v>18</v>
      </c>
      <c r="D27" s="38"/>
      <c r="E27" s="39" t="str">
        <f t="shared" si="16"/>
        <v/>
      </c>
      <c r="F27" s="40" t="str">
        <f>IF(E27="","",IF(AND(E27&gt;200,RANK(E27,$E$25:$E$30)&lt;=2),"TARGET",""))</f>
        <v/>
      </c>
      <c r="G27" s="41" t="str">
        <f t="shared" si="17"/>
        <v/>
      </c>
      <c r="H27" s="44" t="str">
        <f t="shared" si="18"/>
        <v/>
      </c>
      <c r="I27" s="41"/>
      <c r="J27" s="44" t="str">
        <f t="shared" si="19"/>
        <v/>
      </c>
      <c r="K27" s="41"/>
      <c r="L27" s="44" t="str">
        <f t="shared" si="20"/>
        <v/>
      </c>
      <c r="M27" s="33"/>
      <c r="N27" s="41" t="str">
        <f>IF(E27="","",E27)</f>
        <v/>
      </c>
      <c r="O27" s="41"/>
      <c r="P27" s="44" t="str">
        <f t="shared" si="21"/>
        <v/>
      </c>
      <c r="Q27" s="41"/>
      <c r="R27" s="44" t="str">
        <f t="shared" si="22"/>
        <v/>
      </c>
      <c r="S27" s="41"/>
      <c r="T27" s="44" t="str">
        <f t="shared" si="23"/>
        <v/>
      </c>
      <c r="V27" s="7"/>
      <c r="W27" s="7"/>
      <c r="X27" s="7"/>
      <c r="Y27" s="7"/>
      <c r="Z27" s="7"/>
      <c r="AA27" s="7"/>
      <c r="AB27" s="7"/>
      <c r="AC27" s="7"/>
      <c r="AD27" s="7"/>
      <c r="AE27" s="7"/>
      <c r="AF27" s="7"/>
      <c r="AG27" s="7"/>
      <c r="AH27" s="7"/>
      <c r="AI27" s="7"/>
      <c r="AJ27" s="7"/>
      <c r="AK27" s="7"/>
      <c r="AL27" s="7"/>
      <c r="AM27" s="7"/>
      <c r="AN27" s="7"/>
      <c r="AO27" s="7"/>
      <c r="AP27" s="7"/>
      <c r="AQ27" s="7"/>
      <c r="AR27" s="7"/>
      <c r="AS27" s="7"/>
      <c r="AT27" s="7"/>
      <c r="AU27" s="7"/>
      <c r="AV27" s="7"/>
      <c r="AW27" s="7"/>
      <c r="AX27" s="7"/>
      <c r="AY27" s="7"/>
      <c r="AZ27" s="7"/>
      <c r="BA27" s="7"/>
      <c r="BB27" s="7"/>
      <c r="BC27" s="7"/>
      <c r="BD27" s="7"/>
      <c r="BE27" s="7"/>
      <c r="BF27" s="7"/>
      <c r="BG27" s="7"/>
      <c r="BH27" s="7"/>
      <c r="BI27" s="7"/>
      <c r="BJ27" s="7"/>
      <c r="BK27" s="7"/>
      <c r="BL27" s="7"/>
      <c r="BM27" s="7"/>
      <c r="BN27" s="7"/>
      <c r="BO27" s="7"/>
      <c r="BP27" s="7"/>
      <c r="BQ27" s="7"/>
      <c r="BR27" s="7"/>
      <c r="BS27" s="7"/>
      <c r="BT27" s="7"/>
      <c r="BU27" s="7"/>
      <c r="BV27" s="7"/>
      <c r="BW27" s="7"/>
      <c r="BX27" s="7"/>
      <c r="BY27" s="7"/>
      <c r="BZ27" s="7"/>
      <c r="CA27" s="7"/>
      <c r="CB27" s="7"/>
      <c r="CC27" s="7"/>
      <c r="CD27" s="7"/>
      <c r="CE27" s="7"/>
      <c r="CF27" s="7"/>
      <c r="CG27" s="7"/>
      <c r="CH27" s="7"/>
      <c r="CI27" s="7"/>
      <c r="CJ27" s="7"/>
      <c r="CK27" s="7"/>
      <c r="CL27" s="7"/>
      <c r="CM27" s="7"/>
      <c r="CN27" s="7"/>
      <c r="CO27" s="7"/>
      <c r="CP27" s="7"/>
      <c r="CQ27" s="7"/>
      <c r="CR27" s="7"/>
      <c r="CS27" s="7"/>
      <c r="CT27" s="7"/>
    </row>
    <row r="28" spans="1:98" s="5" customFormat="1" ht="21.95" customHeight="1" x14ac:dyDescent="0.25">
      <c r="A28" s="95"/>
      <c r="B28" s="96"/>
      <c r="C28" s="37" t="s">
        <v>1</v>
      </c>
      <c r="D28" s="38"/>
      <c r="E28" s="42" t="str">
        <f t="shared" si="16"/>
        <v/>
      </c>
      <c r="F28" s="40" t="str">
        <f>IF(E28="","",IF(AND(E28&gt;200,RANK(E28,$E$25:$E$30)&lt;=2),"TARGET",""))</f>
        <v/>
      </c>
      <c r="G28" s="41" t="str">
        <f t="shared" si="17"/>
        <v/>
      </c>
      <c r="H28" s="44" t="str">
        <f t="shared" si="18"/>
        <v/>
      </c>
      <c r="I28" s="41"/>
      <c r="J28" s="44" t="str">
        <f t="shared" si="19"/>
        <v/>
      </c>
      <c r="K28" s="41"/>
      <c r="L28" s="44" t="str">
        <f t="shared" si="20"/>
        <v/>
      </c>
      <c r="M28" s="33"/>
      <c r="N28" s="41" t="str">
        <f>IF(E28="","",E28)</f>
        <v/>
      </c>
      <c r="O28" s="41"/>
      <c r="P28" s="44" t="str">
        <f t="shared" si="21"/>
        <v/>
      </c>
      <c r="Q28" s="41"/>
      <c r="R28" s="44" t="str">
        <f t="shared" si="22"/>
        <v/>
      </c>
      <c r="S28" s="41"/>
      <c r="T28" s="44" t="str">
        <f t="shared" si="23"/>
        <v/>
      </c>
      <c r="V28" s="7"/>
      <c r="W28" s="7"/>
      <c r="X28" s="7"/>
      <c r="Y28" s="7"/>
      <c r="Z28" s="7"/>
      <c r="AA28" s="7"/>
      <c r="AB28" s="7"/>
      <c r="AC28" s="7"/>
      <c r="AD28" s="7"/>
      <c r="AE28" s="7"/>
      <c r="AF28" s="7"/>
      <c r="AG28" s="7"/>
      <c r="AH28" s="7"/>
      <c r="AI28" s="7"/>
      <c r="AJ28" s="7"/>
      <c r="AK28" s="7"/>
      <c r="AL28" s="7"/>
      <c r="AM28" s="7"/>
      <c r="AN28" s="7"/>
      <c r="AO28" s="7"/>
      <c r="AP28" s="7"/>
      <c r="AQ28" s="7"/>
      <c r="AR28" s="7"/>
      <c r="AS28" s="7"/>
      <c r="AT28" s="7"/>
      <c r="AU28" s="7"/>
      <c r="AV28" s="7"/>
      <c r="AW28" s="7"/>
      <c r="AX28" s="7"/>
      <c r="AY28" s="7"/>
      <c r="AZ28" s="7"/>
      <c r="BA28" s="7"/>
      <c r="BB28" s="7"/>
      <c r="BC28" s="7"/>
      <c r="BD28" s="7"/>
      <c r="BE28" s="7"/>
      <c r="BF28" s="7"/>
      <c r="BG28" s="7"/>
      <c r="BH28" s="7"/>
      <c r="BI28" s="7"/>
      <c r="BJ28" s="7"/>
      <c r="BK28" s="7"/>
      <c r="BL28" s="7"/>
      <c r="BM28" s="7"/>
      <c r="BN28" s="7"/>
      <c r="BO28" s="7"/>
      <c r="BP28" s="7"/>
      <c r="BQ28" s="7"/>
      <c r="BR28" s="7"/>
      <c r="BS28" s="7"/>
      <c r="BT28" s="7"/>
      <c r="BU28" s="7"/>
      <c r="BV28" s="7"/>
      <c r="BW28" s="7"/>
      <c r="BX28" s="7"/>
      <c r="BY28" s="7"/>
      <c r="BZ28" s="7"/>
      <c r="CA28" s="7"/>
      <c r="CB28" s="7"/>
      <c r="CC28" s="7"/>
      <c r="CD28" s="7"/>
      <c r="CE28" s="7"/>
      <c r="CF28" s="7"/>
      <c r="CG28" s="7"/>
      <c r="CH28" s="7"/>
      <c r="CI28" s="7"/>
      <c r="CJ28" s="7"/>
      <c r="CK28" s="7"/>
      <c r="CL28" s="7"/>
      <c r="CM28" s="7"/>
      <c r="CN28" s="7"/>
      <c r="CO28" s="7"/>
      <c r="CP28" s="7"/>
      <c r="CQ28" s="7"/>
      <c r="CR28" s="7"/>
      <c r="CS28" s="7"/>
      <c r="CT28" s="7"/>
    </row>
    <row r="29" spans="1:98" s="5" customFormat="1" ht="21.95" customHeight="1" x14ac:dyDescent="0.25">
      <c r="A29" s="95"/>
      <c r="B29" s="96"/>
      <c r="C29" s="37" t="s">
        <v>19</v>
      </c>
      <c r="D29" s="38"/>
      <c r="E29" s="42" t="str">
        <f t="shared" si="16"/>
        <v/>
      </c>
      <c r="F29" s="40" t="str">
        <f>IF(E29="","",IF(AND(E29&gt;200,RANK(E29,$E$25:$E$30)&lt;=2),"TARGET",""))</f>
        <v/>
      </c>
      <c r="G29" s="41" t="str">
        <f t="shared" si="17"/>
        <v/>
      </c>
      <c r="H29" s="44" t="str">
        <f t="shared" si="18"/>
        <v/>
      </c>
      <c r="I29" s="41"/>
      <c r="J29" s="44" t="str">
        <f t="shared" si="19"/>
        <v/>
      </c>
      <c r="K29" s="41"/>
      <c r="L29" s="44" t="str">
        <f t="shared" si="20"/>
        <v/>
      </c>
      <c r="M29" s="33"/>
      <c r="N29" s="41" t="str">
        <f>IF(E29="","",E29)</f>
        <v/>
      </c>
      <c r="O29" s="41"/>
      <c r="P29" s="44" t="str">
        <f t="shared" si="21"/>
        <v/>
      </c>
      <c r="Q29" s="41"/>
      <c r="R29" s="44" t="str">
        <f t="shared" si="22"/>
        <v/>
      </c>
      <c r="S29" s="41"/>
      <c r="T29" s="44" t="str">
        <f t="shared" si="23"/>
        <v/>
      </c>
      <c r="V29" s="7"/>
      <c r="W29" s="7"/>
      <c r="X29" s="7"/>
      <c r="Y29" s="7"/>
      <c r="Z29" s="7"/>
      <c r="AA29" s="7"/>
      <c r="AB29" s="7"/>
      <c r="AC29" s="7"/>
      <c r="AD29" s="7"/>
      <c r="AE29" s="7"/>
      <c r="AF29" s="7"/>
      <c r="AG29" s="7"/>
      <c r="AH29" s="7"/>
      <c r="AI29" s="7"/>
      <c r="AJ29" s="7"/>
      <c r="AK29" s="7"/>
      <c r="AL29" s="7"/>
      <c r="AM29" s="7"/>
      <c r="AN29" s="7"/>
      <c r="AO29" s="7"/>
      <c r="AP29" s="7"/>
      <c r="AQ29" s="7"/>
      <c r="AR29" s="7"/>
      <c r="AS29" s="7"/>
      <c r="AT29" s="7"/>
      <c r="AU29" s="7"/>
      <c r="AV29" s="7"/>
      <c r="AW29" s="7"/>
      <c r="AX29" s="7"/>
      <c r="AY29" s="7"/>
      <c r="AZ29" s="7"/>
      <c r="BA29" s="7"/>
      <c r="BB29" s="7"/>
      <c r="BC29" s="7"/>
      <c r="BD29" s="7"/>
      <c r="BE29" s="7"/>
      <c r="BF29" s="7"/>
      <c r="BG29" s="7"/>
      <c r="BH29" s="7"/>
      <c r="BI29" s="7"/>
      <c r="BJ29" s="7"/>
      <c r="BK29" s="7"/>
      <c r="BL29" s="7"/>
      <c r="BM29" s="7"/>
      <c r="BN29" s="7"/>
      <c r="BO29" s="7"/>
      <c r="BP29" s="7"/>
      <c r="BQ29" s="7"/>
      <c r="BR29" s="7"/>
      <c r="BS29" s="7"/>
      <c r="BT29" s="7"/>
      <c r="BU29" s="7"/>
      <c r="BV29" s="7"/>
      <c r="BW29" s="7"/>
      <c r="BX29" s="7"/>
      <c r="BY29" s="7"/>
      <c r="BZ29" s="7"/>
      <c r="CA29" s="7"/>
      <c r="CB29" s="7"/>
      <c r="CC29" s="7"/>
      <c r="CD29" s="7"/>
      <c r="CE29" s="7"/>
      <c r="CF29" s="7"/>
      <c r="CG29" s="7"/>
      <c r="CH29" s="7"/>
      <c r="CI29" s="7"/>
      <c r="CJ29" s="7"/>
      <c r="CK29" s="7"/>
      <c r="CL29" s="7"/>
      <c r="CM29" s="7"/>
      <c r="CN29" s="7"/>
      <c r="CO29" s="7"/>
      <c r="CP29" s="7"/>
      <c r="CQ29" s="7"/>
      <c r="CR29" s="7"/>
      <c r="CS29" s="7"/>
      <c r="CT29" s="7"/>
    </row>
    <row r="30" spans="1:98" s="5" customFormat="1" ht="21.95" customHeight="1" x14ac:dyDescent="0.25">
      <c r="A30" s="97"/>
      <c r="B30" s="98"/>
      <c r="C30" s="37" t="s">
        <v>2</v>
      </c>
      <c r="D30" s="38"/>
      <c r="E30" s="42" t="str">
        <f t="shared" si="16"/>
        <v/>
      </c>
      <c r="F30" s="40" t="str">
        <f>IF(E30="","",IF(AND(E30&gt;200,RANK(E30,$E$25:$E$30)&lt;=2),"TARGET",""))</f>
        <v/>
      </c>
      <c r="G30" s="41" t="str">
        <f t="shared" si="17"/>
        <v/>
      </c>
      <c r="H30" s="44" t="str">
        <f t="shared" si="18"/>
        <v/>
      </c>
      <c r="I30" s="41"/>
      <c r="J30" s="44" t="str">
        <f t="shared" si="19"/>
        <v/>
      </c>
      <c r="K30" s="41"/>
      <c r="L30" s="44" t="str">
        <f t="shared" si="20"/>
        <v/>
      </c>
      <c r="M30" s="33"/>
      <c r="N30" s="41" t="str">
        <f>IF(E30="","",E30)</f>
        <v/>
      </c>
      <c r="O30" s="41"/>
      <c r="P30" s="44" t="str">
        <f t="shared" si="21"/>
        <v/>
      </c>
      <c r="Q30" s="41"/>
      <c r="R30" s="44" t="str">
        <f t="shared" si="22"/>
        <v/>
      </c>
      <c r="S30" s="41"/>
      <c r="T30" s="44" t="str">
        <f t="shared" si="23"/>
        <v/>
      </c>
      <c r="V30" s="7"/>
      <c r="W30" s="7"/>
      <c r="X30" s="7"/>
      <c r="Y30" s="7"/>
      <c r="Z30" s="7"/>
      <c r="AA30" s="7"/>
      <c r="AB30" s="7"/>
      <c r="AC30" s="7"/>
      <c r="AD30" s="7"/>
      <c r="AE30" s="7"/>
      <c r="AF30" s="7"/>
      <c r="AG30" s="7"/>
      <c r="AH30" s="7"/>
      <c r="AI30" s="7"/>
      <c r="AJ30" s="7"/>
      <c r="AK30" s="7"/>
      <c r="AL30" s="7"/>
      <c r="AM30" s="7"/>
      <c r="AN30" s="7"/>
      <c r="AO30" s="7"/>
      <c r="AP30" s="7"/>
      <c r="AQ30" s="7"/>
      <c r="AR30" s="7"/>
      <c r="AS30" s="7"/>
      <c r="AT30" s="7"/>
      <c r="AU30" s="7"/>
      <c r="AV30" s="7"/>
      <c r="AW30" s="7"/>
      <c r="AX30" s="7"/>
      <c r="AY30" s="7"/>
      <c r="AZ30" s="7"/>
      <c r="BA30" s="7"/>
      <c r="BB30" s="7"/>
      <c r="BC30" s="7"/>
      <c r="BD30" s="7"/>
      <c r="BE30" s="7"/>
      <c r="BF30" s="7"/>
      <c r="BG30" s="7"/>
      <c r="BH30" s="7"/>
      <c r="BI30" s="7"/>
      <c r="BJ30" s="7"/>
      <c r="BK30" s="7"/>
      <c r="BL30" s="7"/>
      <c r="BM30" s="7"/>
      <c r="BN30" s="7"/>
      <c r="BO30" s="7"/>
      <c r="BP30" s="7"/>
      <c r="BQ30" s="7"/>
      <c r="BR30" s="7"/>
      <c r="BS30" s="7"/>
      <c r="BT30" s="7"/>
      <c r="BU30" s="7"/>
      <c r="BV30" s="7"/>
      <c r="BW30" s="7"/>
      <c r="BX30" s="7"/>
      <c r="BY30" s="7"/>
      <c r="BZ30" s="7"/>
      <c r="CA30" s="7"/>
      <c r="CB30" s="7"/>
      <c r="CC30" s="7"/>
      <c r="CD30" s="7"/>
      <c r="CE30" s="7"/>
      <c r="CF30" s="7"/>
      <c r="CG30" s="7"/>
      <c r="CH30" s="7"/>
      <c r="CI30" s="7"/>
      <c r="CJ30" s="7"/>
      <c r="CK30" s="7"/>
      <c r="CL30" s="7"/>
      <c r="CM30" s="7"/>
      <c r="CN30" s="7"/>
      <c r="CO30" s="7"/>
      <c r="CP30" s="7"/>
      <c r="CQ30" s="7"/>
      <c r="CR30" s="7"/>
      <c r="CS30" s="7"/>
      <c r="CT30" s="7"/>
    </row>
    <row r="31" spans="1:98" s="6" customFormat="1" x14ac:dyDescent="0.25">
      <c r="A31" s="21"/>
      <c r="B31" s="21"/>
      <c r="C31" s="49"/>
      <c r="D31" s="22"/>
      <c r="E31" s="23"/>
      <c r="F31" s="23"/>
      <c r="G31" s="24"/>
      <c r="H31" s="25"/>
      <c r="I31" s="26"/>
      <c r="J31" s="26"/>
      <c r="K31" s="26"/>
      <c r="L31" s="25"/>
      <c r="M31" s="27"/>
      <c r="N31" s="27"/>
      <c r="O31" s="27"/>
      <c r="P31" s="27"/>
      <c r="Q31" s="27"/>
      <c r="R31" s="27"/>
      <c r="S31" s="27"/>
      <c r="T31" s="27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  <c r="AG31" s="3"/>
      <c r="AH31" s="3"/>
      <c r="AI31" s="3"/>
      <c r="AJ31" s="3"/>
      <c r="AK31" s="3"/>
      <c r="AL31" s="3"/>
      <c r="AM31" s="3"/>
      <c r="AN31" s="3"/>
      <c r="AO31" s="3"/>
      <c r="AP31" s="3"/>
      <c r="AQ31" s="3"/>
      <c r="AR31" s="3"/>
      <c r="AS31" s="3"/>
      <c r="AT31" s="3"/>
      <c r="AU31" s="3"/>
      <c r="AV31" s="3"/>
      <c r="AW31" s="3"/>
      <c r="AX31" s="3"/>
      <c r="AY31" s="3"/>
      <c r="AZ31" s="3"/>
      <c r="BA31" s="3"/>
      <c r="BB31" s="3"/>
      <c r="BC31" s="3"/>
      <c r="BD31" s="3"/>
      <c r="BE31" s="3"/>
      <c r="BF31" s="3"/>
      <c r="BG31" s="3"/>
      <c r="BH31" s="3"/>
      <c r="BI31" s="3"/>
      <c r="BJ31" s="3"/>
      <c r="BK31" s="3"/>
      <c r="BL31" s="3"/>
      <c r="BM31" s="3"/>
      <c r="BN31" s="3"/>
      <c r="BO31" s="3"/>
      <c r="BP31" s="3"/>
      <c r="BQ31" s="3"/>
      <c r="BR31" s="3"/>
      <c r="BS31" s="3"/>
      <c r="BT31" s="3"/>
      <c r="BU31" s="3"/>
      <c r="BV31" s="3"/>
      <c r="BW31" s="3"/>
      <c r="BX31" s="3"/>
      <c r="BY31" s="3"/>
      <c r="BZ31" s="3"/>
      <c r="CA31" s="3"/>
      <c r="CB31" s="3"/>
      <c r="CC31" s="3"/>
      <c r="CD31" s="3"/>
      <c r="CE31" s="3"/>
      <c r="CF31" s="3"/>
      <c r="CG31" s="3"/>
      <c r="CH31" s="3"/>
      <c r="CI31" s="3"/>
      <c r="CJ31" s="3"/>
      <c r="CK31" s="3"/>
      <c r="CL31" s="3"/>
      <c r="CM31" s="3"/>
      <c r="CN31" s="3"/>
      <c r="CO31" s="3"/>
      <c r="CP31" s="3"/>
      <c r="CQ31" s="3"/>
      <c r="CR31" s="3"/>
      <c r="CS31" s="3"/>
      <c r="CT31" s="3"/>
    </row>
    <row r="32" spans="1:98" s="5" customFormat="1" ht="29.45" customHeight="1" x14ac:dyDescent="0.25">
      <c r="A32" s="99" t="s">
        <v>15</v>
      </c>
      <c r="B32" s="100"/>
      <c r="C32" s="101"/>
      <c r="D32" s="102"/>
      <c r="E32" s="102"/>
      <c r="F32" s="102"/>
      <c r="G32" s="102"/>
      <c r="H32" s="102"/>
      <c r="I32" s="102"/>
      <c r="J32" s="102"/>
      <c r="K32" s="102"/>
      <c r="L32" s="102"/>
      <c r="M32" s="102"/>
      <c r="N32" s="102"/>
      <c r="O32" s="102"/>
      <c r="P32" s="102"/>
      <c r="Q32" s="102"/>
      <c r="R32" s="102"/>
      <c r="S32" s="102"/>
      <c r="T32" s="103"/>
      <c r="V32" s="7"/>
      <c r="W32" s="7"/>
      <c r="X32" s="7"/>
      <c r="Y32" s="7"/>
      <c r="Z32" s="7"/>
      <c r="AA32" s="7"/>
      <c r="AB32" s="7"/>
      <c r="AC32" s="7"/>
      <c r="AD32" s="7"/>
      <c r="AE32" s="7"/>
      <c r="AF32" s="7"/>
      <c r="AG32" s="7"/>
      <c r="AH32" s="7"/>
      <c r="AI32" s="7"/>
      <c r="AJ32" s="7"/>
      <c r="AK32" s="7"/>
      <c r="AL32" s="7"/>
      <c r="AM32" s="7"/>
      <c r="AN32" s="7"/>
      <c r="AO32" s="7"/>
      <c r="AP32" s="7"/>
      <c r="AQ32" s="7"/>
      <c r="AR32" s="7"/>
      <c r="AS32" s="7"/>
      <c r="AT32" s="7"/>
      <c r="AU32" s="7"/>
      <c r="AV32" s="7"/>
      <c r="AW32" s="7"/>
      <c r="AX32" s="7"/>
      <c r="AY32" s="7"/>
      <c r="AZ32" s="7"/>
      <c r="BA32" s="7"/>
      <c r="BB32" s="7"/>
      <c r="BC32" s="7"/>
      <c r="BD32" s="7"/>
      <c r="BE32" s="7"/>
      <c r="BF32" s="7"/>
      <c r="BG32" s="7"/>
      <c r="BH32" s="7"/>
      <c r="BI32" s="7"/>
      <c r="BJ32" s="7"/>
      <c r="BK32" s="7"/>
      <c r="BL32" s="7"/>
      <c r="BM32" s="7"/>
      <c r="BN32" s="7"/>
      <c r="BO32" s="7"/>
      <c r="BP32" s="7"/>
      <c r="BQ32" s="7"/>
      <c r="BR32" s="7"/>
      <c r="BS32" s="7"/>
      <c r="BT32" s="7"/>
      <c r="BU32" s="7"/>
      <c r="BV32" s="7"/>
      <c r="BW32" s="7"/>
      <c r="BX32" s="7"/>
      <c r="BY32" s="7"/>
      <c r="BZ32" s="7"/>
      <c r="CA32" s="7"/>
      <c r="CB32" s="7"/>
      <c r="CC32" s="7"/>
      <c r="CD32" s="7"/>
      <c r="CE32" s="7"/>
      <c r="CF32" s="7"/>
      <c r="CG32" s="7"/>
      <c r="CH32" s="7"/>
      <c r="CI32" s="7"/>
      <c r="CJ32" s="7"/>
      <c r="CK32" s="7"/>
      <c r="CL32" s="7"/>
      <c r="CM32" s="7"/>
      <c r="CN32" s="7"/>
      <c r="CO32" s="7"/>
      <c r="CP32" s="7"/>
      <c r="CQ32" s="7"/>
      <c r="CR32" s="7"/>
      <c r="CS32" s="7"/>
      <c r="CT32" s="7"/>
    </row>
    <row r="33" spans="1:98" s="5" customFormat="1" x14ac:dyDescent="0.25">
      <c r="A33" s="19"/>
      <c r="B33" s="19"/>
      <c r="C33" s="28"/>
      <c r="D33" s="28"/>
      <c r="E33" s="29"/>
      <c r="F33" s="29"/>
      <c r="G33" s="20"/>
      <c r="H33" s="30"/>
      <c r="I33" s="31"/>
      <c r="J33" s="31"/>
      <c r="K33" s="31"/>
      <c r="L33" s="30"/>
      <c r="M33" s="30"/>
      <c r="N33" s="30"/>
      <c r="O33" s="30"/>
      <c r="P33" s="30"/>
      <c r="Q33" s="30"/>
      <c r="R33" s="30"/>
      <c r="S33" s="30"/>
      <c r="T33" s="30"/>
      <c r="V33" s="7"/>
      <c r="W33" s="7"/>
      <c r="X33" s="7"/>
      <c r="Y33" s="7"/>
      <c r="Z33" s="7"/>
      <c r="AA33" s="7"/>
      <c r="AB33" s="7"/>
      <c r="AC33" s="7"/>
      <c r="AD33" s="7"/>
      <c r="AE33" s="7"/>
      <c r="AF33" s="7"/>
      <c r="AG33" s="7"/>
      <c r="AH33" s="7"/>
      <c r="AI33" s="7"/>
      <c r="AJ33" s="7"/>
      <c r="AK33" s="7"/>
      <c r="AL33" s="7"/>
      <c r="AM33" s="7"/>
      <c r="AN33" s="7"/>
      <c r="AO33" s="7"/>
      <c r="AP33" s="7"/>
      <c r="AQ33" s="7"/>
      <c r="AR33" s="7"/>
      <c r="AS33" s="7"/>
      <c r="AT33" s="7"/>
      <c r="AU33" s="7"/>
      <c r="AV33" s="7"/>
      <c r="AW33" s="7"/>
      <c r="AX33" s="7"/>
      <c r="AY33" s="7"/>
      <c r="AZ33" s="7"/>
      <c r="BA33" s="7"/>
      <c r="BB33" s="7"/>
      <c r="BC33" s="7"/>
      <c r="BD33" s="7"/>
      <c r="BE33" s="7"/>
      <c r="BF33" s="7"/>
      <c r="BG33" s="7"/>
      <c r="BH33" s="7"/>
      <c r="BI33" s="7"/>
      <c r="BJ33" s="7"/>
      <c r="BK33" s="7"/>
      <c r="BL33" s="7"/>
      <c r="BM33" s="7"/>
      <c r="BN33" s="7"/>
      <c r="BO33" s="7"/>
      <c r="BP33" s="7"/>
      <c r="BQ33" s="7"/>
      <c r="BR33" s="7"/>
      <c r="BS33" s="7"/>
      <c r="BT33" s="7"/>
      <c r="BU33" s="7"/>
      <c r="BV33" s="7"/>
      <c r="BW33" s="7"/>
      <c r="BX33" s="7"/>
      <c r="BY33" s="7"/>
      <c r="BZ33" s="7"/>
      <c r="CA33" s="7"/>
      <c r="CB33" s="7"/>
      <c r="CC33" s="7"/>
      <c r="CD33" s="7"/>
      <c r="CE33" s="7"/>
      <c r="CF33" s="7"/>
      <c r="CG33" s="7"/>
      <c r="CH33" s="7"/>
      <c r="CI33" s="7"/>
      <c r="CJ33" s="7"/>
      <c r="CK33" s="7"/>
      <c r="CL33" s="7"/>
      <c r="CM33" s="7"/>
      <c r="CN33" s="7"/>
      <c r="CO33" s="7"/>
      <c r="CP33" s="7"/>
      <c r="CQ33" s="7"/>
      <c r="CR33" s="7"/>
      <c r="CS33" s="7"/>
      <c r="CT33" s="7"/>
    </row>
    <row r="35" spans="1:98" ht="15.75" x14ac:dyDescent="0.25">
      <c r="A35" s="46" t="s">
        <v>16</v>
      </c>
    </row>
    <row r="36" spans="1:98" x14ac:dyDescent="0.25">
      <c r="A36" s="54"/>
      <c r="B36" s="48"/>
      <c r="C36" s="48"/>
      <c r="D36" s="48"/>
      <c r="E36" s="48"/>
      <c r="F36" s="48"/>
      <c r="G36" s="50"/>
      <c r="H36" s="48"/>
      <c r="I36" s="47"/>
      <c r="J36" s="47"/>
      <c r="K36" s="47"/>
      <c r="L36" s="48"/>
      <c r="M36" s="48"/>
      <c r="N36" s="48"/>
      <c r="O36" s="48"/>
      <c r="P36" s="48"/>
      <c r="Q36" s="48"/>
      <c r="R36" s="48"/>
      <c r="S36" s="48"/>
      <c r="T36" s="48"/>
    </row>
    <row r="37" spans="1:98" s="8" customFormat="1" x14ac:dyDescent="0.25">
      <c r="A37" s="55" t="s">
        <v>135</v>
      </c>
      <c r="B37" s="51"/>
      <c r="C37" s="51"/>
      <c r="D37" s="51"/>
      <c r="E37" s="51"/>
      <c r="F37" s="51"/>
      <c r="G37" s="52"/>
      <c r="H37" s="51"/>
      <c r="I37" s="53"/>
      <c r="J37" s="53"/>
      <c r="K37" s="53"/>
      <c r="L37" s="51"/>
      <c r="M37" s="51"/>
      <c r="N37" s="51"/>
      <c r="O37" s="51"/>
      <c r="P37" s="51"/>
      <c r="Q37" s="51"/>
      <c r="R37" s="51"/>
      <c r="S37" s="51"/>
      <c r="T37" s="51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</row>
    <row r="38" spans="1:98" x14ac:dyDescent="0.25">
      <c r="A38" s="54"/>
      <c r="B38" s="48"/>
      <c r="C38" s="48"/>
      <c r="D38" s="48"/>
      <c r="E38" s="48"/>
      <c r="F38" s="48"/>
      <c r="G38" s="50"/>
      <c r="H38" s="48"/>
      <c r="I38" s="47"/>
      <c r="J38" s="47"/>
      <c r="K38" s="47"/>
      <c r="L38" s="48"/>
      <c r="M38" s="48"/>
      <c r="N38" s="48"/>
      <c r="O38" s="48"/>
      <c r="P38" s="48"/>
      <c r="Q38" s="48"/>
      <c r="R38" s="48"/>
      <c r="S38" s="48"/>
      <c r="T38" s="48"/>
    </row>
    <row r="39" spans="1:98" x14ac:dyDescent="0.25">
      <c r="A39" s="56" t="s">
        <v>136</v>
      </c>
      <c r="B39" s="51"/>
      <c r="C39" s="51"/>
      <c r="D39" s="51"/>
      <c r="E39" s="51"/>
      <c r="F39" s="51"/>
      <c r="G39" s="52"/>
      <c r="H39" s="51"/>
      <c r="I39" s="53"/>
      <c r="J39" s="53"/>
      <c r="K39" s="53"/>
      <c r="L39" s="51"/>
      <c r="M39" s="51"/>
      <c r="N39" s="51"/>
      <c r="O39" s="51"/>
      <c r="P39" s="48"/>
      <c r="Q39" s="48"/>
      <c r="R39" s="48"/>
      <c r="S39" s="48"/>
      <c r="T39" s="48"/>
    </row>
    <row r="41" spans="1:98" ht="15.75" x14ac:dyDescent="0.25">
      <c r="A41" s="46" t="s">
        <v>27</v>
      </c>
    </row>
    <row r="42" spans="1:98" ht="45" x14ac:dyDescent="0.25">
      <c r="A42" s="45" t="s">
        <v>36</v>
      </c>
      <c r="B42" s="1"/>
      <c r="C42" s="1"/>
      <c r="D42" s="1"/>
      <c r="E42" s="1"/>
      <c r="F42" s="1"/>
      <c r="G42" s="1"/>
      <c r="H42" s="1"/>
      <c r="I42" s="1"/>
      <c r="J42" s="11" t="s">
        <v>10</v>
      </c>
    </row>
    <row r="43" spans="1:98" x14ac:dyDescent="0.25">
      <c r="A43" s="1"/>
      <c r="B43" s="1"/>
      <c r="C43" s="1"/>
      <c r="D43" s="1"/>
      <c r="E43" s="1"/>
      <c r="F43" s="1"/>
      <c r="G43" s="1"/>
      <c r="H43" s="1"/>
      <c r="I43" s="1"/>
      <c r="J43" s="1"/>
    </row>
    <row r="44" spans="1:98" x14ac:dyDescent="0.25">
      <c r="A44" s="1"/>
      <c r="B44" s="1"/>
      <c r="C44" s="1"/>
      <c r="D44" s="1"/>
      <c r="E44" s="1"/>
      <c r="F44" s="1"/>
      <c r="G44" s="1"/>
      <c r="H44" s="1"/>
      <c r="I44" s="1"/>
      <c r="J44" s="1"/>
    </row>
    <row r="45" spans="1:98" x14ac:dyDescent="0.25">
      <c r="A45" s="1"/>
      <c r="B45" s="1"/>
      <c r="C45" s="1"/>
      <c r="D45" s="1"/>
      <c r="E45" s="1"/>
      <c r="F45" s="1"/>
      <c r="G45" s="1"/>
      <c r="H45" s="1"/>
      <c r="I45" s="1"/>
      <c r="J45" s="1"/>
    </row>
    <row r="46" spans="1:98" x14ac:dyDescent="0.25">
      <c r="A46" s="1"/>
      <c r="B46" s="1"/>
      <c r="C46" s="1"/>
      <c r="D46" s="1"/>
      <c r="E46" s="1"/>
      <c r="F46" s="1"/>
      <c r="G46" s="1"/>
      <c r="H46" s="1"/>
      <c r="I46" s="1"/>
      <c r="J46" s="1"/>
    </row>
    <row r="47" spans="1:98" x14ac:dyDescent="0.25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98" x14ac:dyDescent="0.25">
      <c r="A48" s="1"/>
      <c r="B48" s="1"/>
      <c r="C48" s="1"/>
      <c r="D48" s="1"/>
      <c r="E48" s="1"/>
      <c r="F48" s="1"/>
      <c r="G48" s="1"/>
      <c r="H48" s="1"/>
      <c r="I48" s="1"/>
      <c r="J48" s="1"/>
    </row>
    <row r="49" spans="1:10" x14ac:dyDescent="0.25">
      <c r="B49" s="1"/>
      <c r="C49" s="1"/>
      <c r="D49" s="1"/>
      <c r="E49" s="1"/>
      <c r="F49" s="1"/>
      <c r="G49" s="1"/>
      <c r="H49" s="1"/>
      <c r="I49" s="1"/>
    </row>
    <row r="50" spans="1:10" x14ac:dyDescent="0.25">
      <c r="B50" s="1"/>
      <c r="C50" s="1"/>
      <c r="D50" s="1"/>
      <c r="E50" s="1"/>
      <c r="F50" s="1"/>
      <c r="G50" s="1"/>
      <c r="H50" s="1"/>
      <c r="I50" s="1"/>
    </row>
    <row r="51" spans="1:10" x14ac:dyDescent="0.25">
      <c r="B51" s="1"/>
      <c r="C51" s="1"/>
      <c r="D51" s="1"/>
      <c r="E51" s="1"/>
      <c r="F51" s="1"/>
      <c r="G51" s="1"/>
      <c r="H51" s="1"/>
      <c r="I51" s="1"/>
      <c r="J51" s="1"/>
    </row>
    <row r="52" spans="1:10" x14ac:dyDescent="0.25">
      <c r="B52" s="1"/>
      <c r="C52" s="1"/>
      <c r="D52" s="1"/>
      <c r="E52" s="1"/>
      <c r="F52" s="1"/>
      <c r="G52" s="1"/>
      <c r="H52" s="1"/>
      <c r="I52" s="1"/>
      <c r="J52" s="1"/>
    </row>
    <row r="53" spans="1:10" x14ac:dyDescent="0.25">
      <c r="B53" s="1"/>
      <c r="C53" s="1"/>
      <c r="D53" s="1"/>
      <c r="E53" s="1"/>
      <c r="F53" s="1"/>
      <c r="G53" s="1"/>
      <c r="H53" s="1"/>
      <c r="I53" s="1"/>
      <c r="J53" s="1"/>
    </row>
    <row r="54" spans="1:10" x14ac:dyDescent="0.25">
      <c r="C54" s="1"/>
      <c r="D54" s="1"/>
      <c r="E54" s="1"/>
      <c r="F54" s="1"/>
      <c r="G54" s="1"/>
      <c r="H54" s="1"/>
      <c r="I54" s="1"/>
      <c r="J54" s="1"/>
    </row>
    <row r="55" spans="1:10" x14ac:dyDescent="0.25">
      <c r="C55" s="1"/>
      <c r="D55" s="1"/>
      <c r="E55" s="1"/>
      <c r="F55" s="1"/>
      <c r="G55" s="1"/>
      <c r="H55" s="1"/>
      <c r="I55" s="1"/>
      <c r="J55" s="1"/>
    </row>
    <row r="56" spans="1:10" x14ac:dyDescent="0.25">
      <c r="C56" s="1"/>
      <c r="D56" s="1"/>
      <c r="E56" s="1"/>
      <c r="F56" s="1"/>
      <c r="G56" s="1"/>
      <c r="H56" s="1"/>
      <c r="I56" s="1"/>
      <c r="J56" s="1"/>
    </row>
    <row r="58" spans="1:10" ht="15.75" x14ac:dyDescent="0.25">
      <c r="A58" s="46" t="s">
        <v>27</v>
      </c>
    </row>
    <row r="59" spans="1:10" x14ac:dyDescent="0.25">
      <c r="A59" s="45" t="s">
        <v>40</v>
      </c>
      <c r="J59" s="12" t="s">
        <v>10</v>
      </c>
    </row>
    <row r="60" spans="1:10" x14ac:dyDescent="0.25">
      <c r="C60" s="1"/>
      <c r="D60" s="1"/>
      <c r="E60" s="1"/>
      <c r="F60" s="1"/>
      <c r="G60" s="1"/>
      <c r="H60" s="1"/>
      <c r="I60" s="1"/>
      <c r="J60" s="1"/>
    </row>
    <row r="61" spans="1:10" x14ac:dyDescent="0.25">
      <c r="C61" s="1"/>
      <c r="D61" s="1"/>
      <c r="E61" s="1"/>
      <c r="F61" s="1"/>
      <c r="G61" s="1"/>
      <c r="H61" s="1"/>
      <c r="I61" s="1"/>
      <c r="J61" s="1"/>
    </row>
    <row r="62" spans="1:10" x14ac:dyDescent="0.25">
      <c r="C62" s="1"/>
      <c r="D62" s="1"/>
      <c r="E62" s="1"/>
      <c r="F62" s="1"/>
      <c r="G62" s="1"/>
      <c r="H62" s="1"/>
      <c r="I62" s="1"/>
      <c r="J62" s="1"/>
    </row>
    <row r="63" spans="1:10" x14ac:dyDescent="0.25">
      <c r="C63" s="1"/>
      <c r="D63" s="1"/>
      <c r="E63" s="1"/>
      <c r="F63" s="1"/>
      <c r="G63" s="1"/>
      <c r="H63" s="1"/>
      <c r="I63" s="1"/>
      <c r="J63" s="1"/>
    </row>
    <row r="64" spans="1:10" x14ac:dyDescent="0.25">
      <c r="C64" s="1"/>
      <c r="D64" s="1"/>
      <c r="E64" s="1"/>
      <c r="F64" s="1"/>
      <c r="G64" s="1"/>
      <c r="H64" s="1"/>
      <c r="I64" s="1"/>
      <c r="J64" s="1"/>
    </row>
    <row r="65" spans="3:10" x14ac:dyDescent="0.25">
      <c r="C65" s="1"/>
      <c r="D65" s="1"/>
      <c r="E65" s="1"/>
      <c r="F65" s="1"/>
      <c r="G65" s="1"/>
      <c r="H65" s="1"/>
      <c r="I65" s="1"/>
      <c r="J65" s="1"/>
    </row>
    <row r="68" spans="3:10" x14ac:dyDescent="0.25">
      <c r="C68" s="1"/>
      <c r="D68" s="1"/>
      <c r="E68" s="1"/>
      <c r="F68" s="1"/>
      <c r="G68" s="1"/>
      <c r="H68" s="1"/>
      <c r="I68" s="1"/>
      <c r="J68" s="1"/>
    </row>
    <row r="69" spans="3:10" x14ac:dyDescent="0.25">
      <c r="C69" s="1"/>
      <c r="D69" s="1"/>
      <c r="E69" s="1"/>
      <c r="F69" s="1"/>
      <c r="G69" s="1"/>
      <c r="H69" s="1"/>
      <c r="I69" s="1"/>
      <c r="J69" s="1"/>
    </row>
    <row r="70" spans="3:10" x14ac:dyDescent="0.25">
      <c r="C70" s="1"/>
      <c r="D70" s="1"/>
      <c r="E70" s="1"/>
      <c r="F70" s="1"/>
      <c r="G70" s="1"/>
      <c r="H70" s="1"/>
      <c r="I70" s="1"/>
      <c r="J70" s="1"/>
    </row>
    <row r="71" spans="3:10" x14ac:dyDescent="0.25">
      <c r="C71" s="1"/>
      <c r="D71" s="1"/>
      <c r="E71" s="1"/>
      <c r="F71" s="1"/>
      <c r="G71" s="1"/>
      <c r="H71" s="1"/>
      <c r="I71" s="1"/>
      <c r="J71" s="1"/>
    </row>
    <row r="72" spans="3:10" x14ac:dyDescent="0.25">
      <c r="C72" s="1"/>
      <c r="D72" s="1"/>
      <c r="E72" s="1"/>
      <c r="F72" s="1"/>
      <c r="G72" s="1"/>
      <c r="H72" s="1"/>
      <c r="I72" s="1"/>
      <c r="J72" s="1"/>
    </row>
    <row r="73" spans="3:10" x14ac:dyDescent="0.25">
      <c r="C73" s="1"/>
      <c r="D73" s="1"/>
      <c r="E73" s="1"/>
      <c r="F73" s="1"/>
      <c r="G73" s="1"/>
      <c r="H73" s="1"/>
      <c r="I73" s="1"/>
      <c r="J73" s="1"/>
    </row>
  </sheetData>
  <mergeCells count="25">
    <mergeCell ref="E2:L2"/>
    <mergeCell ref="E3:L3"/>
    <mergeCell ref="B6:D6"/>
    <mergeCell ref="D8:L8"/>
    <mergeCell ref="N8:T8"/>
    <mergeCell ref="Q9:R9"/>
    <mergeCell ref="S9:T9"/>
    <mergeCell ref="A18:B18"/>
    <mergeCell ref="C18:T18"/>
    <mergeCell ref="D22:L22"/>
    <mergeCell ref="N22:T22"/>
    <mergeCell ref="A9:B16"/>
    <mergeCell ref="G9:H9"/>
    <mergeCell ref="I9:J9"/>
    <mergeCell ref="K9:L9"/>
    <mergeCell ref="O9:P9"/>
    <mergeCell ref="S23:T23"/>
    <mergeCell ref="A32:B32"/>
    <mergeCell ref="C32:T32"/>
    <mergeCell ref="A23:B30"/>
    <mergeCell ref="G23:H23"/>
    <mergeCell ref="I23:J23"/>
    <mergeCell ref="K23:L23"/>
    <mergeCell ref="O23:P23"/>
    <mergeCell ref="Q23:R23"/>
  </mergeCells>
  <conditionalFormatting sqref="E11:E16">
    <cfRule type="expression" dxfId="53" priority="7">
      <formula>AND(E11&lt;&gt;"",E11&gt;=200)</formula>
    </cfRule>
    <cfRule type="expression" dxfId="52" priority="8">
      <formula>AND(E11&lt;&gt;"",E11&lt;200)</formula>
    </cfRule>
  </conditionalFormatting>
  <conditionalFormatting sqref="E25:E30">
    <cfRule type="expression" dxfId="51" priority="25">
      <formula>AND(E25&lt;&gt;"",E25&gt;=200)</formula>
    </cfRule>
    <cfRule type="expression" dxfId="50" priority="26">
      <formula>AND(E25&lt;&gt;"",E25&lt;200)</formula>
    </cfRule>
  </conditionalFormatting>
  <conditionalFormatting sqref="F11:F16">
    <cfRule type="containsText" dxfId="49" priority="24" operator="containsText" text="TARGET">
      <formula>NOT(ISERROR(SEARCH("TARGET",F11)))</formula>
    </cfRule>
  </conditionalFormatting>
  <conditionalFormatting sqref="F25:F30">
    <cfRule type="containsText" dxfId="48" priority="42" operator="containsText" text="TARGET">
      <formula>NOT(ISERROR(SEARCH("TARGET",F25)))</formula>
    </cfRule>
  </conditionalFormatting>
  <conditionalFormatting sqref="G11:G16">
    <cfRule type="expression" dxfId="47" priority="9">
      <formula>AND(G11&lt;&gt;"",G11&gt;=200)</formula>
    </cfRule>
    <cfRule type="expression" dxfId="46" priority="10">
      <formula>AND(G11&lt;&gt;"",G11&lt;200)</formula>
    </cfRule>
  </conditionalFormatting>
  <conditionalFormatting sqref="G25:G30">
    <cfRule type="expression" dxfId="45" priority="27">
      <formula>AND(G25&lt;&gt;"",G25&gt;=200)</formula>
    </cfRule>
    <cfRule type="expression" dxfId="44" priority="28">
      <formula>AND(G25&lt;&gt;"",G25&lt;200)</formula>
    </cfRule>
  </conditionalFormatting>
  <conditionalFormatting sqref="I11:I16">
    <cfRule type="expression" dxfId="43" priority="11">
      <formula>AND(I11&lt;&gt;"",I11&gt;=200)</formula>
    </cfRule>
    <cfRule type="expression" dxfId="42" priority="12">
      <formula>AND(I11&lt;&gt;"",I11&lt;200)</formula>
    </cfRule>
  </conditionalFormatting>
  <conditionalFormatting sqref="I25:I30">
    <cfRule type="expression" dxfId="41" priority="29">
      <formula>AND(I25&lt;&gt;"",I25&gt;=200)</formula>
    </cfRule>
    <cfRule type="expression" dxfId="40" priority="30">
      <formula>AND(I25&lt;&gt;"",I25&lt;200)</formula>
    </cfRule>
  </conditionalFormatting>
  <conditionalFormatting sqref="K11:K16">
    <cfRule type="expression" dxfId="39" priority="13">
      <formula>AND(K11&lt;&gt;"",K11&gt;=200)</formula>
    </cfRule>
    <cfRule type="expression" dxfId="38" priority="14">
      <formula>AND(K11&lt;&gt;"",K11&lt;200)</formula>
    </cfRule>
  </conditionalFormatting>
  <conditionalFormatting sqref="K25:K30">
    <cfRule type="expression" dxfId="37" priority="31">
      <formula>AND(K25&lt;&gt;"",K25&gt;=200)</formula>
    </cfRule>
    <cfRule type="expression" dxfId="36" priority="32">
      <formula>AND(K25&lt;&gt;"",K25&lt;200)</formula>
    </cfRule>
  </conditionalFormatting>
  <conditionalFormatting sqref="O11:O16">
    <cfRule type="expression" dxfId="11" priority="15">
      <formula>AND(O11&lt;&gt;"",O11&gt;=200)</formula>
    </cfRule>
    <cfRule type="expression" dxfId="10" priority="16">
      <formula>AND(O11&lt;&gt;"",O11&lt;200)</formula>
    </cfRule>
    <cfRule type="expression" dxfId="9" priority="6" stopIfTrue="1">
      <formula>AND(O11&lt;&gt;"",O11&gt;=1.05*IF($K11&lt;&gt;"",$K11,IF($I11&lt;&gt;"",$I11,$G11)))</formula>
    </cfRule>
  </conditionalFormatting>
  <conditionalFormatting sqref="O25:O30">
    <cfRule type="expression" dxfId="35" priority="33">
      <formula>AND(O25&lt;&gt;"",O25&gt;=200)</formula>
    </cfRule>
    <cfRule type="expression" dxfId="34" priority="34">
      <formula>AND(O25&lt;&gt;"",O25&lt;200)</formula>
    </cfRule>
  </conditionalFormatting>
  <conditionalFormatting sqref="P11:P16">
    <cfRule type="expression" dxfId="33" priority="21">
      <formula>AND(P11&lt;&gt;"",P11&gt;=5)</formula>
    </cfRule>
  </conditionalFormatting>
  <conditionalFormatting sqref="P25:P30">
    <cfRule type="expression" dxfId="32" priority="39">
      <formula>AND(P25&lt;&gt;"",P25&gt;=5)</formula>
    </cfRule>
  </conditionalFormatting>
  <conditionalFormatting sqref="Q11:Q16">
    <cfRule type="expression" dxfId="8" priority="17">
      <formula>AND(Q11&lt;&gt;"",Q11&gt;=200)</formula>
    </cfRule>
    <cfRule type="expression" dxfId="7" priority="18">
      <formula>AND(Q11&lt;&gt;"",Q11&lt;200)</formula>
    </cfRule>
    <cfRule type="expression" dxfId="6" priority="5" stopIfTrue="1">
      <formula>AND(Q11&lt;&gt;"",Q11&gt;=1.05*IF($K11&lt;&gt;"",$K11,IF($I11&lt;&gt;"",$I11,$G11)))</formula>
    </cfRule>
  </conditionalFormatting>
  <conditionalFormatting sqref="Q25:Q30">
    <cfRule type="expression" dxfId="31" priority="35">
      <formula>AND(Q25&lt;&gt;"",Q25&gt;=200)</formula>
    </cfRule>
    <cfRule type="expression" dxfId="30" priority="36">
      <formula>AND(Q25&lt;&gt;"",Q25&lt;200)</formula>
    </cfRule>
  </conditionalFormatting>
  <conditionalFormatting sqref="R11:R16">
    <cfRule type="expression" dxfId="29" priority="22">
      <formula>AND(R11&lt;&gt;"",R11&gt;=5)</formula>
    </cfRule>
  </conditionalFormatting>
  <conditionalFormatting sqref="R25:R30">
    <cfRule type="expression" dxfId="28" priority="40">
      <formula>AND(R25&lt;&gt;"",R25&gt;=5)</formula>
    </cfRule>
  </conditionalFormatting>
  <conditionalFormatting sqref="S11:S16">
    <cfRule type="expression" dxfId="5" priority="19">
      <formula>AND(S11&lt;&gt;"",S11&gt;=200)</formula>
    </cfRule>
    <cfRule type="expression" dxfId="4" priority="20">
      <formula>AND(S11&lt;&gt;"",S11&lt;200)</formula>
    </cfRule>
    <cfRule type="expression" dxfId="3" priority="4" stopIfTrue="1">
      <formula>AND(S11&lt;&gt;"",S11&gt;=1.05*IF($K11&lt;&gt;"",$K11,IF($I11&lt;&gt;"",$I11,$G11)))</formula>
    </cfRule>
  </conditionalFormatting>
  <conditionalFormatting sqref="S25:S30">
    <cfRule type="expression" dxfId="27" priority="37">
      <formula>AND(S25&lt;&gt;"",S25&gt;=200)</formula>
    </cfRule>
    <cfRule type="expression" dxfId="26" priority="38">
      <formula>AND(S25&lt;&gt;"",S25&lt;200)</formula>
    </cfRule>
  </conditionalFormatting>
  <conditionalFormatting sqref="T11:T16">
    <cfRule type="expression" dxfId="25" priority="23">
      <formula>AND(T11&lt;&gt;"",T11&gt;=5)</formula>
    </cfRule>
  </conditionalFormatting>
  <conditionalFormatting sqref="T25:T30">
    <cfRule type="expression" dxfId="24" priority="41">
      <formula>AND(T25&lt;&gt;"",T25&gt;=5)</formula>
    </cfRule>
  </conditionalFormatting>
  <conditionalFormatting sqref="O25:O30">
    <cfRule type="expression" dxfId="2" priority="3" stopIfTrue="1">
      <formula>AND(O25&lt;&gt;"",O25&gt;=1.05*IF($K25&lt;&gt;"",$K25,IF($I25&lt;&gt;"",$I25,$G25)))</formula>
    </cfRule>
  </conditionalFormatting>
  <conditionalFormatting sqref="Q25:Q30">
    <cfRule type="expression" dxfId="1" priority="2" stopIfTrue="1">
      <formula>AND(Q25&lt;&gt;"",Q25&gt;=1.05*IF($K25&lt;&gt;"",$K25,IF($I25&lt;&gt;"",$I25,$G25)))</formula>
    </cfRule>
  </conditionalFormatting>
  <conditionalFormatting sqref="S25:S30">
    <cfRule type="expression" dxfId="0" priority="1" stopIfTrue="1">
      <formula>AND(S25&lt;&gt;"",S25&gt;=1.05*IF($K25&lt;&gt;"",$K25,IF($I25&lt;&gt;"",$I25,$G25)))</formula>
    </cfRule>
  </conditionalFormatting>
  <pageMargins left="0.7" right="0.7" top="0.75" bottom="0.75" header="0.3" footer="0.3"/>
  <pageSetup paperSize="9" scale="54" orientation="landscape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Werkbladen</vt:lpstr>
      </vt:variant>
      <vt:variant>
        <vt:i4>3</vt:i4>
      </vt:variant>
      <vt:variant>
        <vt:lpstr>Benoemde bereiken</vt:lpstr>
      </vt:variant>
      <vt:variant>
        <vt:i4>2</vt:i4>
      </vt:variant>
    </vt:vector>
  </HeadingPairs>
  <TitlesOfParts>
    <vt:vector size="5" baseType="lpstr">
      <vt:lpstr>Meting</vt:lpstr>
      <vt:lpstr>Visit</vt:lpstr>
      <vt:lpstr>TEMPLATE (blank)</vt:lpstr>
      <vt:lpstr>'TEMPLATE (blank)'!Afdrukbereik</vt:lpstr>
      <vt:lpstr>Visit!Afdrukbereik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I-Shape</dc:creator>
  <cp:lastModifiedBy>Janou De Buyser</cp:lastModifiedBy>
  <dcterms:created xsi:type="dcterms:W3CDTF">2025-01-19T11:10:00Z</dcterms:created>
  <dcterms:modified xsi:type="dcterms:W3CDTF">2026-09-25T12:27:23Z</dcterms:modified>
</cp:coreProperties>
</file>
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volg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407A"/>
      <sz val="13"/>
    </font>
    <font>
      <name val="Calibri"/>
      <i val="1"/>
      <color rgb="002E3B47"/>
      <sz val="9.5"/>
    </font>
    <font>
      <name val="Calibri"/>
      <b val="1"/>
      <color rgb="002E3B47"/>
      <sz val="11"/>
    </font>
    <font>
      <name val="Calibri"/>
      <color rgb="002E3B47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2E3B47"/>
      <sz val="9"/>
    </font>
    <font>
      <name val="Calibri"/>
      <color rgb="002E3B47"/>
      <sz val="10"/>
    </font>
    <font>
      <name val="Calibri"/>
      <i val="1"/>
      <color rgb="009AAAB8"/>
      <sz val="11"/>
    </font>
    <font>
      <name val="Calibri"/>
      <b val="1"/>
      <color rgb="002E3B47"/>
      <sz val="10"/>
    </font>
  </fonts>
  <fills count="7">
    <fill>
      <patternFill/>
    </fill>
    <fill>
      <patternFill patternType="gray125"/>
    </fill>
    <fill>
      <patternFill patternType="solid">
        <fgColor rgb="0000407A"/>
      </patternFill>
    </fill>
    <fill>
      <patternFill patternType="solid">
        <fgColor rgb="001D8DB0"/>
      </patternFill>
    </fill>
    <fill>
      <patternFill patternType="solid">
        <fgColor rgb="00EAF3F8"/>
      </patternFill>
    </fill>
    <fill>
      <patternFill patternType="solid">
        <fgColor rgb="00FF7A00"/>
      </patternFill>
    </fill>
    <fill>
      <patternFill patternType="solid">
        <fgColor rgb="00F7FAFC"/>
      </patternFill>
    </fill>
  </fills>
  <borders count="14">
    <border>
      <left/>
      <right/>
      <top/>
      <bottom/>
      <diagonal/>
    </border>
    <border>
      <left style="thin">
        <color rgb="00B9C7D1"/>
      </left>
      <right style="thin">
        <color rgb="00B9C7D1"/>
      </right>
      <top style="thin">
        <color rgb="00B9C7D1"/>
      </top>
      <bottom style="thin">
        <color rgb="00B9C7D1"/>
      </bottom>
    </border>
    <border>
      <left style="dashed">
        <color rgb="008FA6B8"/>
      </left>
      <right style="dashed">
        <color rgb="008FA6B8"/>
      </right>
      <top style="dashed">
        <color rgb="008FA6B8"/>
      </top>
      <bottom style="dashed">
        <color rgb="008FA6B8"/>
      </bottom>
    </border>
    <border>
      <left/>
      <right/>
      <top style="dashed">
        <color rgb="008FA6B8"/>
      </top>
      <bottom/>
      <diagonal/>
    </border>
    <border>
      <left style="dashed">
        <color rgb="008FA6B8"/>
      </left>
      <right/>
      <top/>
      <bottom/>
      <diagonal/>
    </border>
    <border>
      <left/>
      <right style="dashed">
        <color rgb="008FA6B8"/>
      </right>
      <top style="dashed">
        <color rgb="008FA6B8"/>
      </top>
      <bottom/>
      <diagonal/>
    </border>
    <border>
      <left/>
      <right style="dashed">
        <color rgb="008FA6B8"/>
      </right>
      <top/>
      <bottom/>
      <diagonal/>
    </border>
    <border>
      <left style="dashed">
        <color rgb="008FA6B8"/>
      </left>
      <right/>
      <top/>
      <bottom style="dashed">
        <color rgb="008FA6B8"/>
      </bottom>
      <diagonal/>
    </border>
    <border>
      <left/>
      <right/>
      <top/>
      <bottom style="dashed">
        <color rgb="008FA6B8"/>
      </bottom>
      <diagonal/>
    </border>
    <border>
      <left/>
      <right style="dashed">
        <color rgb="008FA6B8"/>
      </right>
      <top/>
      <bottom style="dashed">
        <color rgb="008FA6B8"/>
      </bottom>
      <diagonal/>
    </border>
    <border>
      <left/>
      <right/>
      <top style="thin">
        <color rgb="00B9C7D1"/>
      </top>
      <bottom/>
      <diagonal/>
    </border>
    <border>
      <left/>
      <right style="thin">
        <color rgb="00B9C7D1"/>
      </right>
      <top style="thin">
        <color rgb="00B9C7D1"/>
      </top>
      <bottom/>
      <diagonal/>
    </border>
    <border>
      <left/>
      <right/>
      <top style="thin">
        <color rgb="00B9C7D1"/>
      </top>
      <bottom style="thin">
        <color rgb="00B9C7D1"/>
      </bottom>
      <diagonal/>
    </border>
    <border>
      <left/>
      <right style="thin">
        <color rgb="00B9C7D1"/>
      </right>
      <top style="thin">
        <color rgb="00B9C7D1"/>
      </top>
      <bottom style="thin">
        <color rgb="00B9C7D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0" fillId="0" borderId="2" pivotButton="0" quotePrefix="0" xfId="0"/>
    <xf numFmtId="0" fontId="11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</cols>
  <sheetData>
    <row r="1" ht="26" customHeight="1">
      <c r="A1" s="1" t="inlineStr">
        <is>
          <t>PARADISE PROJECT</t>
        </is>
      </c>
    </row>
    <row r="2">
      <c r="A2" s="2" t="inlineStr">
        <is>
          <t>eCRF-Document 24b: Opvolgtool piekdruk en ontlasting (Novel pedar)</t>
        </is>
      </c>
    </row>
    <row r="3" ht="28" customHeight="1">
      <c r="A3" s="3" t="inlineStr">
        <is>
          <t>Aanvullend hulpmiddel bij eCRF-document 9 (baseline plantaire drukmeting) en eCRF-document 24 (meting drukherverdeling voetorthese) — ondersteunt de klinische opvolging van de doelregio's doorheen de studie. Vervangt de papieren eCRF-documenten niet.</t>
        </is>
      </c>
    </row>
    <row r="5">
      <c r="A5" s="4" t="inlineStr">
        <is>
          <t>Studie titel:</t>
        </is>
      </c>
      <c r="C5" s="5" t="inlineStr">
        <is>
          <t>Towards Pressure-Adherence &amp; Education Driven Service in Diabetic Foot Disease (PARADISE trial)</t>
        </is>
      </c>
    </row>
    <row r="6">
      <c r="A6" s="4" t="inlineStr">
        <is>
          <t>Protocolnummer:</t>
        </is>
      </c>
      <c r="C6" s="5" t="inlineStr">
        <is>
          <t>S71769</t>
        </is>
      </c>
    </row>
    <row r="7">
      <c r="A7" s="4" t="inlineStr">
        <is>
          <t>Studielocatie:</t>
        </is>
      </c>
      <c r="C7" s="5" t="inlineStr"/>
      <c r="G7" s="4" t="inlineStr">
        <is>
          <t>Deelnemerscode:</t>
        </is>
      </c>
      <c r="I7" s="5" t="inlineStr"/>
    </row>
    <row r="8">
      <c r="A8" s="4" t="inlineStr">
        <is>
          <t>Datum meting:</t>
        </is>
      </c>
      <c r="C8" s="5" t="inlineStr"/>
      <c r="G8" s="4" t="inlineStr">
        <is>
          <t>Toestel:</t>
        </is>
      </c>
      <c r="I8" s="5" t="inlineStr">
        <is>
          <t>Novel pedar</t>
        </is>
      </c>
    </row>
    <row r="9">
      <c r="A9" s="4" t="inlineStr">
        <is>
          <t>Visite:</t>
        </is>
      </c>
      <c r="C9" s="5" t="inlineStr">
        <is>
          <t>V2 / V4 / V6 / V8 (omcirkelen)</t>
        </is>
      </c>
    </row>
    <row r="12" ht="18" customHeight="1">
      <c r="A12" s="6" t="inlineStr">
        <is>
          <t>LINKS — voorgeschiedenis van voetulcus (locatie):</t>
        </is>
      </c>
    </row>
    <row r="13">
      <c r="A13" s="5" t="inlineStr"/>
    </row>
    <row r="14" ht="16" customHeight="1">
      <c r="A14" s="7" t="inlineStr">
        <is>
          <t>Regio (Multimask)</t>
        </is>
      </c>
      <c r="B14" s="7" t="inlineStr">
        <is>
          <t>Baseline blootsvoets</t>
        </is>
      </c>
      <c r="C14" s="7" t="inlineStr">
        <is>
          <t>Doelregio?</t>
        </is>
      </c>
      <c r="D14" s="7" t="inlineStr">
        <is>
          <t>Visite 2</t>
        </is>
      </c>
      <c r="G14" s="7" t="inlineStr">
        <is>
          <t>Visite 4</t>
        </is>
      </c>
      <c r="J14" s="7" t="inlineStr">
        <is>
          <t>Visite 6</t>
        </is>
      </c>
      <c r="M14" s="7" t="inlineStr">
        <is>
          <t>Visite 8</t>
        </is>
      </c>
    </row>
    <row r="15" ht="28" customHeight="1">
      <c r="D15" s="8" t="inlineStr">
        <is>
          <t>Piekdruk in CMFO (kPa)</t>
        </is>
      </c>
      <c r="E15" s="8" t="inlineStr">
        <is>
          <t>% reductie tov baseline</t>
        </is>
      </c>
      <c r="F15" s="8" t="inlineStr">
        <is>
          <t>Doel behaald?</t>
        </is>
      </c>
      <c r="G15" s="8" t="inlineStr">
        <is>
          <t>Piekdruk in CMFO (kPa)</t>
        </is>
      </c>
      <c r="H15" s="8" t="inlineStr">
        <is>
          <t>% reductie tov baseline</t>
        </is>
      </c>
      <c r="I15" s="8" t="inlineStr">
        <is>
          <t>Doel behaald?</t>
        </is>
      </c>
      <c r="J15" s="8" t="inlineStr">
        <is>
          <t>Piekdruk in CMFO (kPa)</t>
        </is>
      </c>
      <c r="K15" s="8" t="inlineStr">
        <is>
          <t>% reductie tov baseline</t>
        </is>
      </c>
      <c r="L15" s="8" t="inlineStr">
        <is>
          <t>Doel behaald?</t>
        </is>
      </c>
      <c r="M15" s="8" t="inlineStr">
        <is>
          <t>Piekdruk in CMFO (kPa)</t>
        </is>
      </c>
      <c r="N15" s="8" t="inlineStr">
        <is>
          <t>% reductie tov baseline</t>
        </is>
      </c>
      <c r="O15" s="8" t="inlineStr">
        <is>
          <t>Doel behaald?</t>
        </is>
      </c>
    </row>
    <row r="16">
      <c r="A16" s="9" t="inlineStr">
        <is>
          <t>Hiel</t>
        </is>
      </c>
      <c r="B16" s="10" t="inlineStr"/>
      <c r="C16" s="11">
        <f>IF(B16="","",IF(AND(B16&gt;200,RANK(B16,$B$16:$B$23)&lt;=2),"DOELREGIO",""))</f>
        <v/>
      </c>
      <c r="D16" s="10" t="inlineStr"/>
      <c r="E16" s="11">
        <f>IF(OR($B16="",D16=""),"",ROUND(($B16-D16)/$B16*100,1))</f>
        <v/>
      </c>
      <c r="F16" s="12">
        <f>IF(OR($B16="",D16=""),"",IF(OR(D16&lt;200,($B16-D16)/$B16&gt;=0.25),"JA","NEE"))</f>
        <v/>
      </c>
      <c r="G16" s="10" t="inlineStr"/>
      <c r="H16" s="11">
        <f>IF(OR($B16="",G16=""),"",ROUND(($B16-G16)/$B16*100,1))</f>
        <v/>
      </c>
      <c r="I16" s="12">
        <f>IF(OR($B16="",G16=""),"",IF(OR(G16&lt;200,($B16-G16)/$B16&gt;=0.25),"JA","NEE"))</f>
        <v/>
      </c>
      <c r="J16" s="10" t="inlineStr"/>
      <c r="K16" s="11">
        <f>IF(OR($B16="",J16=""),"",ROUND(($B16-J16)/$B16*100,1))</f>
        <v/>
      </c>
      <c r="L16" s="12">
        <f>IF(OR($B16="",J16=""),"",IF(OR(J16&lt;200,($B16-J16)/$B16&gt;=0.25),"JA","NEE"))</f>
        <v/>
      </c>
      <c r="M16" s="10" t="inlineStr"/>
      <c r="N16" s="11">
        <f>IF(OR($B16="",M16=""),"",ROUND(($B16-M16)/$B16*100,1))</f>
        <v/>
      </c>
      <c r="O16" s="12">
        <f>IF(OR($B16="",M16=""),"",IF(OR(M16&lt;200,($B16-M16)/$B16&gt;=0.25),"JA","NEE"))</f>
        <v/>
      </c>
    </row>
    <row r="17">
      <c r="A17" s="9" t="inlineStr">
        <is>
          <t>Mediale middenvoet</t>
        </is>
      </c>
      <c r="B17" s="10" t="inlineStr"/>
      <c r="C17" s="11">
        <f>IF(B17="","",IF(AND(B17&gt;200,RANK(B17,$B$16:$B$23)&lt;=2),"DOELREGIO",""))</f>
        <v/>
      </c>
      <c r="D17" s="10" t="inlineStr"/>
      <c r="E17" s="11">
        <f>IF(OR($B17="",D17=""),"",ROUND(($B17-D17)/$B17*100,1))</f>
        <v/>
      </c>
      <c r="F17" s="12">
        <f>IF(OR($B17="",D17=""),"",IF(OR(D17&lt;200,($B17-D17)/$B17&gt;=0.25),"JA","NEE"))</f>
        <v/>
      </c>
      <c r="G17" s="10" t="inlineStr"/>
      <c r="H17" s="11">
        <f>IF(OR($B17="",G17=""),"",ROUND(($B17-G17)/$B17*100,1))</f>
        <v/>
      </c>
      <c r="I17" s="12">
        <f>IF(OR($B17="",G17=""),"",IF(OR(G17&lt;200,($B17-G17)/$B17&gt;=0.25),"JA","NEE"))</f>
        <v/>
      </c>
      <c r="J17" s="10" t="inlineStr"/>
      <c r="K17" s="11">
        <f>IF(OR($B17="",J17=""),"",ROUND(($B17-J17)/$B17*100,1))</f>
        <v/>
      </c>
      <c r="L17" s="12">
        <f>IF(OR($B17="",J17=""),"",IF(OR(J17&lt;200,($B17-J17)/$B17&gt;=0.25),"JA","NEE"))</f>
        <v/>
      </c>
      <c r="M17" s="10" t="inlineStr"/>
      <c r="N17" s="11">
        <f>IF(OR($B17="",M17=""),"",ROUND(($B17-M17)/$B17*100,1))</f>
        <v/>
      </c>
      <c r="O17" s="12">
        <f>IF(OR($B17="",M17=""),"",IF(OR(M17&lt;200,($B17-M17)/$B17&gt;=0.25),"JA","NEE"))</f>
        <v/>
      </c>
    </row>
    <row r="18">
      <c r="A18" s="9" t="inlineStr">
        <is>
          <t>Laterale middenvoet</t>
        </is>
      </c>
      <c r="B18" s="10" t="inlineStr"/>
      <c r="C18" s="11">
        <f>IF(B18="","",IF(AND(B18&gt;200,RANK(B18,$B$16:$B$23)&lt;=2),"DOELREGIO",""))</f>
        <v/>
      </c>
      <c r="D18" s="10" t="inlineStr"/>
      <c r="E18" s="11">
        <f>IF(OR($B18="",D18=""),"",ROUND(($B18-D18)/$B18*100,1))</f>
        <v/>
      </c>
      <c r="F18" s="12">
        <f>IF(OR($B18="",D18=""),"",IF(OR(D18&lt;200,($B18-D18)/$B18&gt;=0.25),"JA","NEE"))</f>
        <v/>
      </c>
      <c r="G18" s="10" t="inlineStr"/>
      <c r="H18" s="11">
        <f>IF(OR($B18="",G18=""),"",ROUND(($B18-G18)/$B18*100,1))</f>
        <v/>
      </c>
      <c r="I18" s="12">
        <f>IF(OR($B18="",G18=""),"",IF(OR(G18&lt;200,($B18-G18)/$B18&gt;=0.25),"JA","NEE"))</f>
        <v/>
      </c>
      <c r="J18" s="10" t="inlineStr"/>
      <c r="K18" s="11">
        <f>IF(OR($B18="",J18=""),"",ROUND(($B18-J18)/$B18*100,1))</f>
        <v/>
      </c>
      <c r="L18" s="12">
        <f>IF(OR($B18="",J18=""),"",IF(OR(J18&lt;200,($B18-J18)/$B18&gt;=0.25),"JA","NEE"))</f>
        <v/>
      </c>
      <c r="M18" s="10" t="inlineStr"/>
      <c r="N18" s="11">
        <f>IF(OR($B18="",M18=""),"",ROUND(($B18-M18)/$B18*100,1))</f>
        <v/>
      </c>
      <c r="O18" s="12">
        <f>IF(OR($B18="",M18=""),"",IF(OR(M18&lt;200,($B18-M18)/$B18&gt;=0.25),"JA","NEE"))</f>
        <v/>
      </c>
    </row>
    <row r="19">
      <c r="A19" s="9" t="inlineStr">
        <is>
          <t>Metatarsaal 1</t>
        </is>
      </c>
      <c r="B19" s="10" t="inlineStr"/>
      <c r="C19" s="11">
        <f>IF(B19="","",IF(AND(B19&gt;200,RANK(B19,$B$16:$B$23)&lt;=2),"DOELREGIO",""))</f>
        <v/>
      </c>
      <c r="D19" s="10" t="inlineStr"/>
      <c r="E19" s="11">
        <f>IF(OR($B19="",D19=""),"",ROUND(($B19-D19)/$B19*100,1))</f>
        <v/>
      </c>
      <c r="F19" s="12">
        <f>IF(OR($B19="",D19=""),"",IF(OR(D19&lt;200,($B19-D19)/$B19&gt;=0.25),"JA","NEE"))</f>
        <v/>
      </c>
      <c r="G19" s="10" t="inlineStr"/>
      <c r="H19" s="11">
        <f>IF(OR($B19="",G19=""),"",ROUND(($B19-G19)/$B19*100,1))</f>
        <v/>
      </c>
      <c r="I19" s="12">
        <f>IF(OR($B19="",G19=""),"",IF(OR(G19&lt;200,($B19-G19)/$B19&gt;=0.25),"JA","NEE"))</f>
        <v/>
      </c>
      <c r="J19" s="10" t="inlineStr"/>
      <c r="K19" s="11">
        <f>IF(OR($B19="",J19=""),"",ROUND(($B19-J19)/$B19*100,1))</f>
        <v/>
      </c>
      <c r="L19" s="12">
        <f>IF(OR($B19="",J19=""),"",IF(OR(J19&lt;200,($B19-J19)/$B19&gt;=0.25),"JA","NEE"))</f>
        <v/>
      </c>
      <c r="M19" s="10" t="inlineStr"/>
      <c r="N19" s="11">
        <f>IF(OR($B19="",M19=""),"",ROUND(($B19-M19)/$B19*100,1))</f>
        <v/>
      </c>
      <c r="O19" s="12">
        <f>IF(OR($B19="",M19=""),"",IF(OR(M19&lt;200,($B19-M19)/$B19&gt;=0.25),"JA","NEE"))</f>
        <v/>
      </c>
    </row>
    <row r="20">
      <c r="A20" s="9" t="inlineStr">
        <is>
          <t>Metatarsaal 2-3</t>
        </is>
      </c>
      <c r="B20" s="10" t="inlineStr"/>
      <c r="C20" s="11">
        <f>IF(B20="","",IF(AND(B20&gt;200,RANK(B20,$B$16:$B$23)&lt;=2),"DOELREGIO",""))</f>
        <v/>
      </c>
      <c r="D20" s="10" t="inlineStr"/>
      <c r="E20" s="11">
        <f>IF(OR($B20="",D20=""),"",ROUND(($B20-D20)/$B20*100,1))</f>
        <v/>
      </c>
      <c r="F20" s="12">
        <f>IF(OR($B20="",D20=""),"",IF(OR(D20&lt;200,($B20-D20)/$B20&gt;=0.25),"JA","NEE"))</f>
        <v/>
      </c>
      <c r="G20" s="10" t="inlineStr"/>
      <c r="H20" s="11">
        <f>IF(OR($B20="",G20=""),"",ROUND(($B20-G20)/$B20*100,1))</f>
        <v/>
      </c>
      <c r="I20" s="12">
        <f>IF(OR($B20="",G20=""),"",IF(OR(G20&lt;200,($B20-G20)/$B20&gt;=0.25),"JA","NEE"))</f>
        <v/>
      </c>
      <c r="J20" s="10" t="inlineStr"/>
      <c r="K20" s="11">
        <f>IF(OR($B20="",J20=""),"",ROUND(($B20-J20)/$B20*100,1))</f>
        <v/>
      </c>
      <c r="L20" s="12">
        <f>IF(OR($B20="",J20=""),"",IF(OR(J20&lt;200,($B20-J20)/$B20&gt;=0.25),"JA","NEE"))</f>
        <v/>
      </c>
      <c r="M20" s="10" t="inlineStr"/>
      <c r="N20" s="11">
        <f>IF(OR($B20="",M20=""),"",ROUND(($B20-M20)/$B20*100,1))</f>
        <v/>
      </c>
      <c r="O20" s="12">
        <f>IF(OR($B20="",M20=""),"",IF(OR(M20&lt;200,($B20-M20)/$B20&gt;=0.25),"JA","NEE"))</f>
        <v/>
      </c>
    </row>
    <row r="21">
      <c r="A21" s="9" t="inlineStr">
        <is>
          <t>Metatarsaal 4-5</t>
        </is>
      </c>
      <c r="B21" s="10" t="inlineStr"/>
      <c r="C21" s="11">
        <f>IF(B21="","",IF(AND(B21&gt;200,RANK(B21,$B$16:$B$23)&lt;=2),"DOELREGIO",""))</f>
        <v/>
      </c>
      <c r="D21" s="10" t="inlineStr"/>
      <c r="E21" s="11">
        <f>IF(OR($B21="",D21=""),"",ROUND(($B21-D21)/$B21*100,1))</f>
        <v/>
      </c>
      <c r="F21" s="12">
        <f>IF(OR($B21="",D21=""),"",IF(OR(D21&lt;200,($B21-D21)/$B21&gt;=0.25),"JA","NEE"))</f>
        <v/>
      </c>
      <c r="G21" s="10" t="inlineStr"/>
      <c r="H21" s="11">
        <f>IF(OR($B21="",G21=""),"",ROUND(($B21-G21)/$B21*100,1))</f>
        <v/>
      </c>
      <c r="I21" s="12">
        <f>IF(OR($B21="",G21=""),"",IF(OR(G21&lt;200,($B21-G21)/$B21&gt;=0.25),"JA","NEE"))</f>
        <v/>
      </c>
      <c r="J21" s="10" t="inlineStr"/>
      <c r="K21" s="11">
        <f>IF(OR($B21="",J21=""),"",ROUND(($B21-J21)/$B21*100,1))</f>
        <v/>
      </c>
      <c r="L21" s="12">
        <f>IF(OR($B21="",J21=""),"",IF(OR(J21&lt;200,($B21-J21)/$B21&gt;=0.25),"JA","NEE"))</f>
        <v/>
      </c>
      <c r="M21" s="10" t="inlineStr"/>
      <c r="N21" s="11">
        <f>IF(OR($B21="",M21=""),"",ROUND(($B21-M21)/$B21*100,1))</f>
        <v/>
      </c>
      <c r="O21" s="12">
        <f>IF(OR($B21="",M21=""),"",IF(OR(M21&lt;200,($B21-M21)/$B21&gt;=0.25),"JA","NEE"))</f>
        <v/>
      </c>
    </row>
    <row r="22">
      <c r="A22" s="9" t="inlineStr">
        <is>
          <t>Hallux</t>
        </is>
      </c>
      <c r="B22" s="10" t="inlineStr"/>
      <c r="C22" s="11">
        <f>IF(B22="","",IF(AND(B22&gt;200,RANK(B22,$B$16:$B$23)&lt;=2),"DOELREGIO",""))</f>
        <v/>
      </c>
      <c r="D22" s="10" t="inlineStr"/>
      <c r="E22" s="11">
        <f>IF(OR($B22="",D22=""),"",ROUND(($B22-D22)/$B22*100,1))</f>
        <v/>
      </c>
      <c r="F22" s="12">
        <f>IF(OR($B22="",D22=""),"",IF(OR(D22&lt;200,($B22-D22)/$B22&gt;=0.25),"JA","NEE"))</f>
        <v/>
      </c>
      <c r="G22" s="10" t="inlineStr"/>
      <c r="H22" s="11">
        <f>IF(OR($B22="",G22=""),"",ROUND(($B22-G22)/$B22*100,1))</f>
        <v/>
      </c>
      <c r="I22" s="12">
        <f>IF(OR($B22="",G22=""),"",IF(OR(G22&lt;200,($B22-G22)/$B22&gt;=0.25),"JA","NEE"))</f>
        <v/>
      </c>
      <c r="J22" s="10" t="inlineStr"/>
      <c r="K22" s="11">
        <f>IF(OR($B22="",J22=""),"",ROUND(($B22-J22)/$B22*100,1))</f>
        <v/>
      </c>
      <c r="L22" s="12">
        <f>IF(OR($B22="",J22=""),"",IF(OR(J22&lt;200,($B22-J22)/$B22&gt;=0.25),"JA","NEE"))</f>
        <v/>
      </c>
      <c r="M22" s="10" t="inlineStr"/>
      <c r="N22" s="11">
        <f>IF(OR($B22="",M22=""),"",ROUND(($B22-M22)/$B22*100,1))</f>
        <v/>
      </c>
      <c r="O22" s="12">
        <f>IF(OR($B22="",M22=""),"",IF(OR(M22&lt;200,($B22-M22)/$B22&gt;=0.25),"JA","NEE"))</f>
        <v/>
      </c>
    </row>
    <row r="23">
      <c r="A23" s="9" t="inlineStr">
        <is>
          <t>Tenen 2-5</t>
        </is>
      </c>
      <c r="B23" s="10" t="inlineStr"/>
      <c r="C23" s="11">
        <f>IF(B23="","",IF(AND(B23&gt;200,RANK(B23,$B$16:$B$23)&lt;=2),"DOELREGIO",""))</f>
        <v/>
      </c>
      <c r="D23" s="10" t="inlineStr"/>
      <c r="E23" s="11">
        <f>IF(OR($B23="",D23=""),"",ROUND(($B23-D23)/$B23*100,1))</f>
        <v/>
      </c>
      <c r="F23" s="12">
        <f>IF(OR($B23="",D23=""),"",IF(OR(D23&lt;200,($B23-D23)/$B23&gt;=0.25),"JA","NEE"))</f>
        <v/>
      </c>
      <c r="G23" s="10" t="inlineStr"/>
      <c r="H23" s="11">
        <f>IF(OR($B23="",G23=""),"",ROUND(($B23-G23)/$B23*100,1))</f>
        <v/>
      </c>
      <c r="I23" s="12">
        <f>IF(OR($B23="",G23=""),"",IF(OR(G23&lt;200,($B23-G23)/$B23&gt;=0.25),"JA","NEE"))</f>
        <v/>
      </c>
      <c r="J23" s="10" t="inlineStr"/>
      <c r="K23" s="11">
        <f>IF(OR($B23="",J23=""),"",ROUND(($B23-J23)/$B23*100,1))</f>
        <v/>
      </c>
      <c r="L23" s="12">
        <f>IF(OR($B23="",J23=""),"",IF(OR(J23&lt;200,($B23-J23)/$B23&gt;=0.25),"JA","NEE"))</f>
        <v/>
      </c>
      <c r="M23" s="10" t="inlineStr"/>
      <c r="N23" s="11">
        <f>IF(OR($B23="",M23=""),"",ROUND(($B23-M23)/$B23*100,1))</f>
        <v/>
      </c>
      <c r="O23" s="12">
        <f>IF(OR($B23="",M23=""),"",IF(OR(M23&lt;200,($B23-M23)/$B23&gt;=0.25),"JA","NEE"))</f>
        <v/>
      </c>
    </row>
    <row r="25" ht="18" customHeight="1">
      <c r="A25" s="6" t="inlineStr">
        <is>
          <t>RECHTS — voorgeschiedenis van voetulcus (locatie):</t>
        </is>
      </c>
    </row>
    <row r="26">
      <c r="A26" s="5" t="inlineStr"/>
    </row>
    <row r="27" ht="16" customHeight="1">
      <c r="A27" s="7" t="inlineStr">
        <is>
          <t>Regio (Multimask)</t>
        </is>
      </c>
      <c r="B27" s="7" t="inlineStr">
        <is>
          <t>Baseline blootsvoets</t>
        </is>
      </c>
      <c r="C27" s="7" t="inlineStr">
        <is>
          <t>Doelregio?</t>
        </is>
      </c>
      <c r="D27" s="7" t="inlineStr">
        <is>
          <t>Visite 2</t>
        </is>
      </c>
      <c r="G27" s="7" t="inlineStr">
        <is>
          <t>Visite 4</t>
        </is>
      </c>
      <c r="J27" s="7" t="inlineStr">
        <is>
          <t>Visite 6</t>
        </is>
      </c>
      <c r="M27" s="7" t="inlineStr">
        <is>
          <t>Visite 8</t>
        </is>
      </c>
    </row>
    <row r="28" ht="28" customHeight="1">
      <c r="D28" s="8" t="inlineStr">
        <is>
          <t>Piekdruk in CMFO (kPa)</t>
        </is>
      </c>
      <c r="E28" s="8" t="inlineStr">
        <is>
          <t>% reductie tov baseline</t>
        </is>
      </c>
      <c r="F28" s="8" t="inlineStr">
        <is>
          <t>Doel behaald?</t>
        </is>
      </c>
      <c r="G28" s="8" t="inlineStr">
        <is>
          <t>Piekdruk in CMFO (kPa)</t>
        </is>
      </c>
      <c r="H28" s="8" t="inlineStr">
        <is>
          <t>% reductie tov baseline</t>
        </is>
      </c>
      <c r="I28" s="8" t="inlineStr">
        <is>
          <t>Doel behaald?</t>
        </is>
      </c>
      <c r="J28" s="8" t="inlineStr">
        <is>
          <t>Piekdruk in CMFO (kPa)</t>
        </is>
      </c>
      <c r="K28" s="8" t="inlineStr">
        <is>
          <t>% reductie tov baseline</t>
        </is>
      </c>
      <c r="L28" s="8" t="inlineStr">
        <is>
          <t>Doel behaald?</t>
        </is>
      </c>
      <c r="M28" s="8" t="inlineStr">
        <is>
          <t>Piekdruk in CMFO (kPa)</t>
        </is>
      </c>
      <c r="N28" s="8" t="inlineStr">
        <is>
          <t>% reductie tov baseline</t>
        </is>
      </c>
      <c r="O28" s="8" t="inlineStr">
        <is>
          <t>Doel behaald?</t>
        </is>
      </c>
    </row>
    <row r="29">
      <c r="A29" s="9" t="inlineStr">
        <is>
          <t>Hiel</t>
        </is>
      </c>
      <c r="B29" s="10" t="inlineStr"/>
      <c r="C29" s="11">
        <f>IF(B29="","",IF(AND(B29&gt;200,RANK(B29,$B$29:$B$36)&lt;=2),"DOELREGIO",""))</f>
        <v/>
      </c>
      <c r="D29" s="10" t="inlineStr"/>
      <c r="E29" s="11">
        <f>IF(OR($B29="",D29=""),"",ROUND(($B29-D29)/$B29*100,1))</f>
        <v/>
      </c>
      <c r="F29" s="12">
        <f>IF(OR($B29="",D29=""),"",IF(OR(D29&lt;200,($B29-D29)/$B29&gt;=0.25),"JA","NEE"))</f>
        <v/>
      </c>
      <c r="G29" s="10" t="inlineStr"/>
      <c r="H29" s="11">
        <f>IF(OR($B29="",G29=""),"",ROUND(($B29-G29)/$B29*100,1))</f>
        <v/>
      </c>
      <c r="I29" s="12">
        <f>IF(OR($B29="",G29=""),"",IF(OR(G29&lt;200,($B29-G29)/$B29&gt;=0.25),"JA","NEE"))</f>
        <v/>
      </c>
      <c r="J29" s="10" t="inlineStr"/>
      <c r="K29" s="11">
        <f>IF(OR($B29="",J29=""),"",ROUND(($B29-J29)/$B29*100,1))</f>
        <v/>
      </c>
      <c r="L29" s="12">
        <f>IF(OR($B29="",J29=""),"",IF(OR(J29&lt;200,($B29-J29)/$B29&gt;=0.25),"JA","NEE"))</f>
        <v/>
      </c>
      <c r="M29" s="10" t="inlineStr"/>
      <c r="N29" s="11">
        <f>IF(OR($B29="",M29=""),"",ROUND(($B29-M29)/$B29*100,1))</f>
        <v/>
      </c>
      <c r="O29" s="12">
        <f>IF(OR($B29="",M29=""),"",IF(OR(M29&lt;200,($B29-M29)/$B29&gt;=0.25),"JA","NEE"))</f>
        <v/>
      </c>
    </row>
    <row r="30">
      <c r="A30" s="9" t="inlineStr">
        <is>
          <t>Mediale middenvoet</t>
        </is>
      </c>
      <c r="B30" s="10" t="inlineStr"/>
      <c r="C30" s="11">
        <f>IF(B30="","",IF(AND(B30&gt;200,RANK(B30,$B$29:$B$36)&lt;=2),"DOELREGIO",""))</f>
        <v/>
      </c>
      <c r="D30" s="10" t="inlineStr"/>
      <c r="E30" s="11">
        <f>IF(OR($B30="",D30=""),"",ROUND(($B30-D30)/$B30*100,1))</f>
        <v/>
      </c>
      <c r="F30" s="12">
        <f>IF(OR($B30="",D30=""),"",IF(OR(D30&lt;200,($B30-D30)/$B30&gt;=0.25),"JA","NEE"))</f>
        <v/>
      </c>
      <c r="G30" s="10" t="inlineStr"/>
      <c r="H30" s="11">
        <f>IF(OR($B30="",G30=""),"",ROUND(($B30-G30)/$B30*100,1))</f>
        <v/>
      </c>
      <c r="I30" s="12">
        <f>IF(OR($B30="",G30=""),"",IF(OR(G30&lt;200,($B30-G30)/$B30&gt;=0.25),"JA","NEE"))</f>
        <v/>
      </c>
      <c r="J30" s="10" t="inlineStr"/>
      <c r="K30" s="11">
        <f>IF(OR($B30="",J30=""),"",ROUND(($B30-J30)/$B30*100,1))</f>
        <v/>
      </c>
      <c r="L30" s="12">
        <f>IF(OR($B30="",J30=""),"",IF(OR(J30&lt;200,($B30-J30)/$B30&gt;=0.25),"JA","NEE"))</f>
        <v/>
      </c>
      <c r="M30" s="10" t="inlineStr"/>
      <c r="N30" s="11">
        <f>IF(OR($B30="",M30=""),"",ROUND(($B30-M30)/$B30*100,1))</f>
        <v/>
      </c>
      <c r="O30" s="12">
        <f>IF(OR($B30="",M30=""),"",IF(OR(M30&lt;200,($B30-M30)/$B30&gt;=0.25),"JA","NEE"))</f>
        <v/>
      </c>
    </row>
    <row r="31">
      <c r="A31" s="9" t="inlineStr">
        <is>
          <t>Laterale middenvoet</t>
        </is>
      </c>
      <c r="B31" s="10" t="inlineStr"/>
      <c r="C31" s="11">
        <f>IF(B31="","",IF(AND(B31&gt;200,RANK(B31,$B$29:$B$36)&lt;=2),"DOELREGIO",""))</f>
        <v/>
      </c>
      <c r="D31" s="10" t="inlineStr"/>
      <c r="E31" s="11">
        <f>IF(OR($B31="",D31=""),"",ROUND(($B31-D31)/$B31*100,1))</f>
        <v/>
      </c>
      <c r="F31" s="12">
        <f>IF(OR($B31="",D31=""),"",IF(OR(D31&lt;200,($B31-D31)/$B31&gt;=0.25),"JA","NEE"))</f>
        <v/>
      </c>
      <c r="G31" s="10" t="inlineStr"/>
      <c r="H31" s="11">
        <f>IF(OR($B31="",G31=""),"",ROUND(($B31-G31)/$B31*100,1))</f>
        <v/>
      </c>
      <c r="I31" s="12">
        <f>IF(OR($B31="",G31=""),"",IF(OR(G31&lt;200,($B31-G31)/$B31&gt;=0.25),"JA","NEE"))</f>
        <v/>
      </c>
      <c r="J31" s="10" t="inlineStr"/>
      <c r="K31" s="11">
        <f>IF(OR($B31="",J31=""),"",ROUND(($B31-J31)/$B31*100,1))</f>
        <v/>
      </c>
      <c r="L31" s="12">
        <f>IF(OR($B31="",J31=""),"",IF(OR(J31&lt;200,($B31-J31)/$B31&gt;=0.25),"JA","NEE"))</f>
        <v/>
      </c>
      <c r="M31" s="10" t="inlineStr"/>
      <c r="N31" s="11">
        <f>IF(OR($B31="",M31=""),"",ROUND(($B31-M31)/$B31*100,1))</f>
        <v/>
      </c>
      <c r="O31" s="12">
        <f>IF(OR($B31="",M31=""),"",IF(OR(M31&lt;200,($B31-M31)/$B31&gt;=0.25),"JA","NEE"))</f>
        <v/>
      </c>
    </row>
    <row r="32">
      <c r="A32" s="9" t="inlineStr">
        <is>
          <t>Metatarsaal 1</t>
        </is>
      </c>
      <c r="B32" s="10" t="inlineStr"/>
      <c r="C32" s="11">
        <f>IF(B32="","",IF(AND(B32&gt;200,RANK(B32,$B$29:$B$36)&lt;=2),"DOELREGIO",""))</f>
        <v/>
      </c>
      <c r="D32" s="10" t="inlineStr"/>
      <c r="E32" s="11">
        <f>IF(OR($B32="",D32=""),"",ROUND(($B32-D32)/$B32*100,1))</f>
        <v/>
      </c>
      <c r="F32" s="12">
        <f>IF(OR($B32="",D32=""),"",IF(OR(D32&lt;200,($B32-D32)/$B32&gt;=0.25),"JA","NEE"))</f>
        <v/>
      </c>
      <c r="G32" s="10" t="inlineStr"/>
      <c r="H32" s="11">
        <f>IF(OR($B32="",G32=""),"",ROUND(($B32-G32)/$B32*100,1))</f>
        <v/>
      </c>
      <c r="I32" s="12">
        <f>IF(OR($B32="",G32=""),"",IF(OR(G32&lt;200,($B32-G32)/$B32&gt;=0.25),"JA","NEE"))</f>
        <v/>
      </c>
      <c r="J32" s="10" t="inlineStr"/>
      <c r="K32" s="11">
        <f>IF(OR($B32="",J32=""),"",ROUND(($B32-J32)/$B32*100,1))</f>
        <v/>
      </c>
      <c r="L32" s="12">
        <f>IF(OR($B32="",J32=""),"",IF(OR(J32&lt;200,($B32-J32)/$B32&gt;=0.25),"JA","NEE"))</f>
        <v/>
      </c>
      <c r="M32" s="10" t="inlineStr"/>
      <c r="N32" s="11">
        <f>IF(OR($B32="",M32=""),"",ROUND(($B32-M32)/$B32*100,1))</f>
        <v/>
      </c>
      <c r="O32" s="12">
        <f>IF(OR($B32="",M32=""),"",IF(OR(M32&lt;200,($B32-M32)/$B32&gt;=0.25),"JA","NEE"))</f>
        <v/>
      </c>
    </row>
    <row r="33">
      <c r="A33" s="9" t="inlineStr">
        <is>
          <t>Metatarsaal 2-3</t>
        </is>
      </c>
      <c r="B33" s="10" t="inlineStr"/>
      <c r="C33" s="11">
        <f>IF(B33="","",IF(AND(B33&gt;200,RANK(B33,$B$29:$B$36)&lt;=2),"DOELREGIO",""))</f>
        <v/>
      </c>
      <c r="D33" s="10" t="inlineStr"/>
      <c r="E33" s="11">
        <f>IF(OR($B33="",D33=""),"",ROUND(($B33-D33)/$B33*100,1))</f>
        <v/>
      </c>
      <c r="F33" s="12">
        <f>IF(OR($B33="",D33=""),"",IF(OR(D33&lt;200,($B33-D33)/$B33&gt;=0.25),"JA","NEE"))</f>
        <v/>
      </c>
      <c r="G33" s="10" t="inlineStr"/>
      <c r="H33" s="11">
        <f>IF(OR($B33="",G33=""),"",ROUND(($B33-G33)/$B33*100,1))</f>
        <v/>
      </c>
      <c r="I33" s="12">
        <f>IF(OR($B33="",G33=""),"",IF(OR(G33&lt;200,($B33-G33)/$B33&gt;=0.25),"JA","NEE"))</f>
        <v/>
      </c>
      <c r="J33" s="10" t="inlineStr"/>
      <c r="K33" s="11">
        <f>IF(OR($B33="",J33=""),"",ROUND(($B33-J33)/$B33*100,1))</f>
        <v/>
      </c>
      <c r="L33" s="12">
        <f>IF(OR($B33="",J33=""),"",IF(OR(J33&lt;200,($B33-J33)/$B33&gt;=0.25),"JA","NEE"))</f>
        <v/>
      </c>
      <c r="M33" s="10" t="inlineStr"/>
      <c r="N33" s="11">
        <f>IF(OR($B33="",M33=""),"",ROUND(($B33-M33)/$B33*100,1))</f>
        <v/>
      </c>
      <c r="O33" s="12">
        <f>IF(OR($B33="",M33=""),"",IF(OR(M33&lt;200,($B33-M33)/$B33&gt;=0.25),"JA","NEE"))</f>
        <v/>
      </c>
    </row>
    <row r="34">
      <c r="A34" s="9" t="inlineStr">
        <is>
          <t>Metatarsaal 4-5</t>
        </is>
      </c>
      <c r="B34" s="10" t="inlineStr"/>
      <c r="C34" s="11">
        <f>IF(B34="","",IF(AND(B34&gt;200,RANK(B34,$B$29:$B$36)&lt;=2),"DOELREGIO",""))</f>
        <v/>
      </c>
      <c r="D34" s="10" t="inlineStr"/>
      <c r="E34" s="11">
        <f>IF(OR($B34="",D34=""),"",ROUND(($B34-D34)/$B34*100,1))</f>
        <v/>
      </c>
      <c r="F34" s="12">
        <f>IF(OR($B34="",D34=""),"",IF(OR(D34&lt;200,($B34-D34)/$B34&gt;=0.25),"JA","NEE"))</f>
        <v/>
      </c>
      <c r="G34" s="10" t="inlineStr"/>
      <c r="H34" s="11">
        <f>IF(OR($B34="",G34=""),"",ROUND(($B34-G34)/$B34*100,1))</f>
        <v/>
      </c>
      <c r="I34" s="12">
        <f>IF(OR($B34="",G34=""),"",IF(OR(G34&lt;200,($B34-G34)/$B34&gt;=0.25),"JA","NEE"))</f>
        <v/>
      </c>
      <c r="J34" s="10" t="inlineStr"/>
      <c r="K34" s="11">
        <f>IF(OR($B34="",J34=""),"",ROUND(($B34-J34)/$B34*100,1))</f>
        <v/>
      </c>
      <c r="L34" s="12">
        <f>IF(OR($B34="",J34=""),"",IF(OR(J34&lt;200,($B34-J34)/$B34&gt;=0.25),"JA","NEE"))</f>
        <v/>
      </c>
      <c r="M34" s="10" t="inlineStr"/>
      <c r="N34" s="11">
        <f>IF(OR($B34="",M34=""),"",ROUND(($B34-M34)/$B34*100,1))</f>
        <v/>
      </c>
      <c r="O34" s="12">
        <f>IF(OR($B34="",M34=""),"",IF(OR(M34&lt;200,($B34-M34)/$B34&gt;=0.25),"JA","NEE"))</f>
        <v/>
      </c>
    </row>
    <row r="35">
      <c r="A35" s="9" t="inlineStr">
        <is>
          <t>Hallux</t>
        </is>
      </c>
      <c r="B35" s="10" t="inlineStr"/>
      <c r="C35" s="11">
        <f>IF(B35="","",IF(AND(B35&gt;200,RANK(B35,$B$29:$B$36)&lt;=2),"DOELREGIO",""))</f>
        <v/>
      </c>
      <c r="D35" s="10" t="inlineStr"/>
      <c r="E35" s="11">
        <f>IF(OR($B35="",D35=""),"",ROUND(($B35-D35)/$B35*100,1))</f>
        <v/>
      </c>
      <c r="F35" s="12">
        <f>IF(OR($B35="",D35=""),"",IF(OR(D35&lt;200,($B35-D35)/$B35&gt;=0.25),"JA","NEE"))</f>
        <v/>
      </c>
      <c r="G35" s="10" t="inlineStr"/>
      <c r="H35" s="11">
        <f>IF(OR($B35="",G35=""),"",ROUND(($B35-G35)/$B35*100,1))</f>
        <v/>
      </c>
      <c r="I35" s="12">
        <f>IF(OR($B35="",G35=""),"",IF(OR(G35&lt;200,($B35-G35)/$B35&gt;=0.25),"JA","NEE"))</f>
        <v/>
      </c>
      <c r="J35" s="10" t="inlineStr"/>
      <c r="K35" s="11">
        <f>IF(OR($B35="",J35=""),"",ROUND(($B35-J35)/$B35*100,1))</f>
        <v/>
      </c>
      <c r="L35" s="12">
        <f>IF(OR($B35="",J35=""),"",IF(OR(J35&lt;200,($B35-J35)/$B35&gt;=0.25),"JA","NEE"))</f>
        <v/>
      </c>
      <c r="M35" s="10" t="inlineStr"/>
      <c r="N35" s="11">
        <f>IF(OR($B35="",M35=""),"",ROUND(($B35-M35)/$B35*100,1))</f>
        <v/>
      </c>
      <c r="O35" s="12">
        <f>IF(OR($B35="",M35=""),"",IF(OR(M35&lt;200,($B35-M35)/$B35&gt;=0.25),"JA","NEE"))</f>
        <v/>
      </c>
    </row>
    <row r="36">
      <c r="A36" s="9" t="inlineStr">
        <is>
          <t>Tenen 2-5</t>
        </is>
      </c>
      <c r="B36" s="10" t="inlineStr"/>
      <c r="C36" s="11">
        <f>IF(B36="","",IF(AND(B36&gt;200,RANK(B36,$B$29:$B$36)&lt;=2),"DOELREGIO",""))</f>
        <v/>
      </c>
      <c r="D36" s="10" t="inlineStr"/>
      <c r="E36" s="11">
        <f>IF(OR($B36="",D36=""),"",ROUND(($B36-D36)/$B36*100,1))</f>
        <v/>
      </c>
      <c r="F36" s="12">
        <f>IF(OR($B36="",D36=""),"",IF(OR(D36&lt;200,($B36-D36)/$B36&gt;=0.25),"JA","NEE"))</f>
        <v/>
      </c>
      <c r="G36" s="10" t="inlineStr"/>
      <c r="H36" s="11">
        <f>IF(OR($B36="",G36=""),"",ROUND(($B36-G36)/$B36*100,1))</f>
        <v/>
      </c>
      <c r="I36" s="12">
        <f>IF(OR($B36="",G36=""),"",IF(OR(G36&lt;200,($B36-G36)/$B36&gt;=0.25),"JA","NEE"))</f>
        <v/>
      </c>
      <c r="J36" s="10" t="inlineStr"/>
      <c r="K36" s="11">
        <f>IF(OR($B36="",J36=""),"",ROUND(($B36-J36)/$B36*100,1))</f>
        <v/>
      </c>
      <c r="L36" s="12">
        <f>IF(OR($B36="",J36=""),"",IF(OR(J36&lt;200,($B36-J36)/$B36&gt;=0.25),"JA","NEE"))</f>
        <v/>
      </c>
      <c r="M36" s="10" t="inlineStr"/>
      <c r="N36" s="11">
        <f>IF(OR($B36="",M36=""),"",ROUND(($B36-M36)/$B36*100,1))</f>
        <v/>
      </c>
      <c r="O36" s="12">
        <f>IF(OR($B36="",M36=""),"",IF(OR(M36&lt;200,($B36-M36)/$B36&gt;=0.25),"JA","NEE"))</f>
        <v/>
      </c>
    </row>
    <row r="39" ht="18" customHeight="1">
      <c r="A39" s="13" t="inlineStr">
        <is>
          <t>Richtlijnen (PARADISE-offloadingdoel)</t>
        </is>
      </c>
    </row>
    <row r="40" ht="90" customHeight="1">
      <c r="A40" s="14" t="inlineStr">
        <is>
          <t>De doelregio's zijn de regio (of regio's) met een voorgeschiedenis van voetulcus, aangevuld met de één of twee regio's met de hoogste piekdruk (&gt;200 kPa) blootsvoets bij baseline (automatisch gemarkeerd als “DOELREGIO” in de tabel hierboven).
Offloadingdoel per doelregio bij het dragen van de aangepaste voetorthese (CMFO): piekdruk &lt; 200 kPa ÓF een reductie van ≥ 25% ten opzichte van de blootsvoets-piekdruk bij baseline.
Wordt dit doel op een visite niet behaald (“NEE”), dan wordt de CMFO aangepast conform eCRF-document 23 (Aanpassing en controle voetorthese) en op de volgende visite herevalueerd.</t>
        </is>
      </c>
    </row>
    <row r="41"/>
    <row r="42"/>
    <row r="44" ht="18" customHeight="1">
      <c r="A44" s="13" t="inlineStr">
        <is>
          <t>Foto drukplaat (novel database-export)</t>
        </is>
      </c>
    </row>
    <row r="45" ht="16" customHeight="1">
      <c r="A45" s="3" t="inlineStr">
        <is>
          <t>Plak hieronder een schermafbeelding van de drukplaat-opname (novel database-software) voor de visite ingevuld bovenaan bij ‘Visite’. Klik in het gearceerde vak en gebruik Invoegen ▸ Illustraties ▸ Afbeeldingen, of plak een gekopieerde afbeelding met Ctrl+V — de afbeelding mag het vak overlappen, dat is enkel een richtvak.</t>
        </is>
      </c>
    </row>
    <row r="46" ht="16" customHeight="1"/>
    <row r="48">
      <c r="A48" s="15" t="inlineStr">
        <is>
          <t>[ plaats hier de drukplaat-foto ]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20" t="n"/>
    </row>
    <row r="49">
      <c r="A49" s="21" t="n"/>
      <c r="O49" s="22" t="n"/>
    </row>
    <row r="50">
      <c r="A50" s="21" t="n"/>
      <c r="O50" s="22" t="n"/>
    </row>
    <row r="51">
      <c r="A51" s="21" t="n"/>
      <c r="O51" s="22" t="n"/>
    </row>
    <row r="52">
      <c r="A52" s="21" t="n"/>
      <c r="O52" s="22" t="n"/>
    </row>
    <row r="53">
      <c r="A53" s="21" t="n"/>
      <c r="O53" s="22" t="n"/>
    </row>
    <row r="54">
      <c r="A54" s="21" t="n"/>
      <c r="O54" s="22" t="n"/>
    </row>
    <row r="55">
      <c r="A55" s="21" t="n"/>
      <c r="O55" s="22" t="n"/>
    </row>
    <row r="56">
      <c r="A56" s="21" t="n"/>
      <c r="O56" s="22" t="n"/>
    </row>
    <row r="57">
      <c r="A57" s="21" t="n"/>
      <c r="O57" s="22" t="n"/>
    </row>
    <row r="58">
      <c r="A58" s="21" t="n"/>
      <c r="O58" s="22" t="n"/>
    </row>
    <row r="59">
      <c r="A59" s="21" t="n"/>
      <c r="O59" s="22" t="n"/>
    </row>
    <row r="60">
      <c r="A60" s="21" t="n"/>
      <c r="O60" s="22" t="n"/>
    </row>
    <row r="61">
      <c r="A61" s="21" t="n"/>
      <c r="O61" s="22" t="n"/>
    </row>
    <row r="62">
      <c r="A62" s="21" t="n"/>
      <c r="O62" s="22" t="n"/>
    </row>
    <row r="63">
      <c r="A63" s="21" t="n"/>
      <c r="O63" s="22" t="n"/>
    </row>
    <row r="64">
      <c r="A64" s="21" t="n"/>
      <c r="O64" s="22" t="n"/>
    </row>
    <row r="65">
      <c r="A65" s="21" t="n"/>
      <c r="O65" s="22" t="n"/>
    </row>
    <row r="66">
      <c r="A66" s="21" t="n"/>
      <c r="O66" s="22" t="n"/>
    </row>
    <row r="67">
      <c r="A67" s="21" t="n"/>
      <c r="O67" s="22" t="n"/>
    </row>
    <row r="68">
      <c r="A68" s="21" t="n"/>
      <c r="O68" s="22" t="n"/>
    </row>
    <row r="69">
      <c r="A69" s="23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5" t="n"/>
    </row>
    <row r="71" ht="16" customHeight="1">
      <c r="A71" s="17" t="inlineStr">
        <is>
          <t>Datum van deze opname:</t>
        </is>
      </c>
      <c r="C71" s="18" t="n"/>
      <c r="D71" s="26" t="n"/>
      <c r="E71" s="26" t="n"/>
      <c r="F71" s="27" t="n"/>
    </row>
  </sheetData>
  <mergeCells count="27">
    <mergeCell ref="B27:B28"/>
    <mergeCell ref="A25:O25"/>
    <mergeCell ref="D27:F27"/>
    <mergeCell ref="J27:L27"/>
    <mergeCell ref="A48:O69"/>
    <mergeCell ref="B14:B15"/>
    <mergeCell ref="A3:O3"/>
    <mergeCell ref="A12:O12"/>
    <mergeCell ref="A27:A28"/>
    <mergeCell ref="A26:O26"/>
    <mergeCell ref="A2:O2"/>
    <mergeCell ref="G14:I14"/>
    <mergeCell ref="M27:O27"/>
    <mergeCell ref="A14:A15"/>
    <mergeCell ref="M14:O14"/>
    <mergeCell ref="D14:F14"/>
    <mergeCell ref="A45:O46"/>
    <mergeCell ref="A13:O13"/>
    <mergeCell ref="C27:C28"/>
    <mergeCell ref="A44:O44"/>
    <mergeCell ref="A39:O39"/>
    <mergeCell ref="J14:L14"/>
    <mergeCell ref="G27:I27"/>
    <mergeCell ref="A40:O42"/>
    <mergeCell ref="A1:O1"/>
    <mergeCell ref="C71:F71"/>
    <mergeCell ref="C14:C15"/>
  </mergeCells>
  <pageMargins left="0.75" right="0.75" top="1" bottom="1" header="0.5" footer="0.5"/>
  <pageSetup orientation="landscape" fitToHeight="0" fitToWidth="1"/>
  <headerFooter>
    <oddHeader/>
    <oddFooter>&amp;C&amp;8 PARADISE-studie  ·  eCRF 24b: Opvolgtool piekdruk en ontlasting (Novel pedar)  ·  Versie 02/08/2026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2026-07-30T07:04:59Z</dcterms:created>
  <dcterms:modified xmlns:dcterms="http://purl.org/dc/terms/" xmlns:xsi="http://www.w3.org/2001/XMLSchema-instance" xsi:type="dcterms:W3CDTF">2026-08-02T18:55:35Z</dcterms:modified>
</cp:coreProperties>
</file>
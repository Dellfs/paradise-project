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anou\AppData\Local\Temp\claude\c--Users-janou-OneDrive---KU-Leuven-Documents-PhD-Brugge-Site\bc4ac141-32fc-489e-b2c3-e6515fecc0f9\scratchpad\"/>
    </mc:Choice>
  </mc:AlternateContent>
  <xr:revisionPtr revIDLastSave="0" documentId="13_ncr:1_{A6E09ED5-F868-4469-975F-DCBA29911680}" xr6:coauthVersionLast="47" xr6:coauthVersionMax="47" xr10:uidLastSave="{00000000-0000-0000-0000-000000000000}"/>
  <bookViews>
    <workbookView xWindow="-110" yWindow="-110" windowWidth="25820" windowHeight="15500" xr2:uid="{D8186157-3417-4030-89A9-46AA9F0BACB5}"/>
  </bookViews>
  <sheets>
    <sheet name="Meting" sheetId="4" r:id="rId1"/>
    <sheet name="Visit" sheetId="1" r:id="rId2"/>
    <sheet name="TEMPLATE (blank)" sheetId="3" r:id="rId3"/>
  </sheets>
  <definedNames>
    <definedName name="_xlnm.Print_Area" localSheetId="2">'TEMPLATE (blank)'!$A$1:$X$43</definedName>
    <definedName name="_xlnm.Print_Area" localSheetId="1">Visit!$A$1:$X$43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4" i="3" l="1"/>
  <c r="X33" i="3"/>
  <c r="X32" i="3"/>
  <c r="X31" i="3"/>
  <c r="X30" i="3"/>
  <c r="X29" i="3"/>
  <c r="X28" i="3"/>
  <c r="X27" i="3"/>
  <c r="X18" i="3"/>
  <c r="X17" i="3"/>
  <c r="X16" i="3"/>
  <c r="X15" i="3"/>
  <c r="X14" i="3"/>
  <c r="X13" i="3"/>
  <c r="X12" i="3"/>
  <c r="X11" i="3"/>
  <c r="N33" i="3"/>
  <c r="N32" i="3"/>
  <c r="N31" i="3"/>
  <c r="N30" i="3"/>
  <c r="N29" i="3"/>
  <c r="N28" i="3"/>
  <c r="N27" i="3"/>
  <c r="N18" i="3"/>
  <c r="N17" i="3"/>
  <c r="N16" i="3"/>
  <c r="N15" i="3"/>
  <c r="N14" i="3"/>
  <c r="N13" i="3"/>
  <c r="N12" i="3"/>
  <c r="X34" i="1"/>
  <c r="X33" i="1"/>
  <c r="X32" i="1"/>
  <c r="X31" i="1"/>
  <c r="X30" i="1"/>
  <c r="X29" i="1"/>
  <c r="X28" i="1"/>
  <c r="X27" i="1"/>
  <c r="X18" i="1"/>
  <c r="X17" i="1"/>
  <c r="X16" i="1"/>
  <c r="X15" i="1"/>
  <c r="X14" i="1"/>
  <c r="X13" i="1"/>
  <c r="X12" i="1"/>
  <c r="X11" i="1"/>
  <c r="I46" i="4"/>
  <c r="H46" i="4"/>
  <c r="G46" i="4"/>
  <c r="I45" i="4"/>
  <c r="H45" i="4"/>
  <c r="G45" i="4"/>
  <c r="I44" i="4"/>
  <c r="H44" i="4"/>
  <c r="G44" i="4"/>
  <c r="I43" i="4"/>
  <c r="H43" i="4"/>
  <c r="G43" i="4"/>
  <c r="I42" i="4"/>
  <c r="H42" i="4"/>
  <c r="G42" i="4"/>
  <c r="I41" i="4"/>
  <c r="H41" i="4"/>
  <c r="G41" i="4"/>
  <c r="I34" i="4"/>
  <c r="H34" i="4"/>
  <c r="G34" i="4"/>
  <c r="I33" i="4"/>
  <c r="H33" i="4"/>
  <c r="G33" i="4"/>
  <c r="I32" i="4"/>
  <c r="H32" i="4"/>
  <c r="G32" i="4"/>
  <c r="I31" i="4"/>
  <c r="H31" i="4"/>
  <c r="G31" i="4"/>
  <c r="I30" i="4"/>
  <c r="H30" i="4"/>
  <c r="G30" i="4"/>
  <c r="I29" i="4"/>
  <c r="H29" i="4"/>
  <c r="G29" i="4"/>
  <c r="F34" i="3"/>
  <c r="F18" i="3"/>
  <c r="F34" i="1"/>
  <c r="F18" i="1"/>
  <c r="AC27" i="3"/>
  <c r="Z27" i="3"/>
  <c r="AC15" i="3"/>
  <c r="Z15" i="3"/>
  <c r="AC26" i="3"/>
  <c r="Z26" i="3"/>
  <c r="AC14" i="3"/>
  <c r="Z14" i="3"/>
  <c r="AC25" i="3"/>
  <c r="Z25" i="3"/>
  <c r="AC13" i="3"/>
  <c r="Z13" i="3"/>
  <c r="AC24" i="3"/>
  <c r="Z24" i="3"/>
  <c r="AC12" i="3"/>
  <c r="Z12" i="3"/>
  <c r="AC23" i="3"/>
  <c r="Z23" i="3"/>
  <c r="AC11" i="3"/>
  <c r="Z11" i="3"/>
  <c r="AC22" i="3"/>
  <c r="Z22" i="3"/>
  <c r="AC10" i="3"/>
  <c r="Z10" i="3"/>
  <c r="AC21" i="3"/>
  <c r="Z21" i="3"/>
  <c r="AC9" i="3"/>
  <c r="Z9" i="3"/>
  <c r="AC20" i="3"/>
  <c r="Z20" i="3"/>
  <c r="AC8" i="3"/>
  <c r="Z8" i="3"/>
  <c r="G34" i="3"/>
  <c r="AB27" i="3" s="1"/>
  <c r="E34" i="3"/>
  <c r="N34" i="3" s="1"/>
  <c r="G33" i="3"/>
  <c r="AB26" i="3" s="1"/>
  <c r="E33" i="3"/>
  <c r="G32" i="3"/>
  <c r="AB25" i="3" s="1"/>
  <c r="E32" i="3"/>
  <c r="G31" i="3"/>
  <c r="AB24" i="3" s="1"/>
  <c r="E31" i="3"/>
  <c r="G30" i="3"/>
  <c r="AB23" i="3" s="1"/>
  <c r="E30" i="3"/>
  <c r="G29" i="3"/>
  <c r="AB22" i="3" s="1"/>
  <c r="E29" i="3"/>
  <c r="G28" i="3"/>
  <c r="AB21" i="3" s="1"/>
  <c r="E28" i="3"/>
  <c r="G27" i="3"/>
  <c r="AB20" i="3" s="1"/>
  <c r="E27" i="3"/>
  <c r="G18" i="3"/>
  <c r="AB15" i="3" s="1"/>
  <c r="E18" i="3"/>
  <c r="G17" i="3"/>
  <c r="AB14" i="3" s="1"/>
  <c r="E17" i="3"/>
  <c r="G16" i="3"/>
  <c r="AB13" i="3" s="1"/>
  <c r="E16" i="3"/>
  <c r="G15" i="3"/>
  <c r="AB12" i="3" s="1"/>
  <c r="E15" i="3"/>
  <c r="G14" i="3"/>
  <c r="AB11" i="3" s="1"/>
  <c r="E14" i="3"/>
  <c r="G13" i="3"/>
  <c r="AB10" i="3" s="1"/>
  <c r="E13" i="3"/>
  <c r="G12" i="3"/>
  <c r="AB9" i="3" s="1"/>
  <c r="E12" i="3"/>
  <c r="G11" i="3"/>
  <c r="AB8" i="3" s="1"/>
  <c r="E11" i="3"/>
  <c r="N11" i="3" s="1"/>
  <c r="AC27" i="1"/>
  <c r="Z27" i="1"/>
  <c r="AC15" i="1"/>
  <c r="Z15" i="1"/>
  <c r="AC26" i="1"/>
  <c r="Z26" i="1"/>
  <c r="AC14" i="1"/>
  <c r="Z14" i="1"/>
  <c r="AC25" i="1"/>
  <c r="Z25" i="1"/>
  <c r="AC13" i="1"/>
  <c r="Z13" i="1"/>
  <c r="AC24" i="1"/>
  <c r="Z24" i="1"/>
  <c r="AC12" i="1"/>
  <c r="Z12" i="1"/>
  <c r="AC23" i="1"/>
  <c r="Z23" i="1"/>
  <c r="AC11" i="1"/>
  <c r="Z11" i="1"/>
  <c r="AC22" i="1"/>
  <c r="Z22" i="1"/>
  <c r="AC10" i="1"/>
  <c r="Z10" i="1"/>
  <c r="AC21" i="1"/>
  <c r="Z21" i="1"/>
  <c r="AC9" i="1"/>
  <c r="Z9" i="1"/>
  <c r="AC20" i="1"/>
  <c r="Z20" i="1"/>
  <c r="AC8" i="1"/>
  <c r="Z8" i="1"/>
  <c r="G34" i="1"/>
  <c r="AB27" i="1" s="1"/>
  <c r="E34" i="1"/>
  <c r="N34" i="1" s="1"/>
  <c r="G33" i="1"/>
  <c r="AB26" i="1" s="1"/>
  <c r="E33" i="1"/>
  <c r="N33" i="1" s="1"/>
  <c r="G32" i="1"/>
  <c r="AB25" i="1" s="1"/>
  <c r="E32" i="1"/>
  <c r="N32" i="1" s="1"/>
  <c r="G31" i="1"/>
  <c r="AB24" i="1" s="1"/>
  <c r="E31" i="1"/>
  <c r="N31" i="1" s="1"/>
  <c r="G30" i="1"/>
  <c r="AB23" i="1" s="1"/>
  <c r="E30" i="1"/>
  <c r="N30" i="1" s="1"/>
  <c r="G29" i="1"/>
  <c r="AB22" i="1" s="1"/>
  <c r="E29" i="1"/>
  <c r="N29" i="1" s="1"/>
  <c r="G28" i="1"/>
  <c r="AB21" i="1" s="1"/>
  <c r="E28" i="1"/>
  <c r="N28" i="1" s="1"/>
  <c r="G27" i="1"/>
  <c r="AB20" i="1" s="1"/>
  <c r="E27" i="1"/>
  <c r="N27" i="1" s="1"/>
  <c r="G18" i="1"/>
  <c r="AB15" i="1" s="1"/>
  <c r="E18" i="1"/>
  <c r="N18" i="1" s="1"/>
  <c r="G17" i="1"/>
  <c r="AB14" i="1" s="1"/>
  <c r="E17" i="1"/>
  <c r="N17" i="1" s="1"/>
  <c r="G16" i="1"/>
  <c r="AB13" i="1" s="1"/>
  <c r="E16" i="1"/>
  <c r="N16" i="1" s="1"/>
  <c r="G15" i="1"/>
  <c r="AB12" i="1" s="1"/>
  <c r="E15" i="1"/>
  <c r="N15" i="1" s="1"/>
  <c r="G14" i="1"/>
  <c r="AB11" i="1" s="1"/>
  <c r="E14" i="1"/>
  <c r="N14" i="1" s="1"/>
  <c r="G13" i="1"/>
  <c r="AB10" i="1" s="1"/>
  <c r="E13" i="1"/>
  <c r="N13" i="1" s="1"/>
  <c r="G12" i="1"/>
  <c r="AB9" i="1" s="1"/>
  <c r="E12" i="1"/>
  <c r="N12" i="1" s="1"/>
  <c r="G11" i="1"/>
  <c r="AB8" i="1" s="1"/>
  <c r="E11" i="1"/>
  <c r="N11" i="1" s="1"/>
  <c r="AA27" i="3" l="1"/>
  <c r="F33" i="3"/>
  <c r="AA26" i="3"/>
  <c r="AA25" i="3"/>
  <c r="F32" i="3"/>
  <c r="F31" i="3"/>
  <c r="AA24" i="3"/>
  <c r="F30" i="3"/>
  <c r="AA23" i="3"/>
  <c r="F29" i="3"/>
  <c r="AA22" i="3"/>
  <c r="F28" i="3"/>
  <c r="AA21" i="3"/>
  <c r="AA20" i="3"/>
  <c r="F27" i="3"/>
  <c r="AA15" i="3"/>
  <c r="AA14" i="3"/>
  <c r="F17" i="3"/>
  <c r="AA13" i="3"/>
  <c r="F16" i="3"/>
  <c r="F15" i="3"/>
  <c r="AA12" i="3"/>
  <c r="F14" i="3"/>
  <c r="AA11" i="3"/>
  <c r="AA10" i="3"/>
  <c r="F13" i="3"/>
  <c r="J12" i="3"/>
  <c r="F12" i="3"/>
  <c r="AA9" i="3"/>
  <c r="F11" i="3"/>
  <c r="AA8" i="3"/>
  <c r="J34" i="1"/>
  <c r="AA27" i="1"/>
  <c r="J33" i="1"/>
  <c r="AA26" i="1"/>
  <c r="F33" i="1"/>
  <c r="F32" i="1"/>
  <c r="AA25" i="1"/>
  <c r="AA24" i="1"/>
  <c r="F31" i="1"/>
  <c r="L30" i="1"/>
  <c r="AA23" i="1"/>
  <c r="F30" i="1"/>
  <c r="L29" i="1"/>
  <c r="F29" i="1"/>
  <c r="AA22" i="1"/>
  <c r="J28" i="1"/>
  <c r="F28" i="1"/>
  <c r="AA21" i="1"/>
  <c r="F27" i="1"/>
  <c r="AA20" i="1"/>
  <c r="AA15" i="1"/>
  <c r="L17" i="1"/>
  <c r="F17" i="1"/>
  <c r="AA14" i="1"/>
  <c r="AA13" i="1"/>
  <c r="F16" i="1"/>
  <c r="L15" i="1"/>
  <c r="F15" i="1"/>
  <c r="AA12" i="1"/>
  <c r="F14" i="1"/>
  <c r="AA11" i="1"/>
  <c r="H13" i="1"/>
  <c r="F13" i="1"/>
  <c r="AA10" i="1"/>
  <c r="F12" i="1"/>
  <c r="AA9" i="1"/>
  <c r="F11" i="1"/>
  <c r="AA8" i="1"/>
  <c r="V34" i="3"/>
  <c r="R34" i="3"/>
  <c r="T34" i="3"/>
  <c r="H34" i="3"/>
  <c r="J34" i="3"/>
  <c r="L34" i="3"/>
  <c r="V33" i="3"/>
  <c r="R33" i="3"/>
  <c r="T33" i="3"/>
  <c r="L33" i="3"/>
  <c r="H33" i="3"/>
  <c r="J33" i="3"/>
  <c r="V32" i="3"/>
  <c r="T32" i="3"/>
  <c r="R32" i="3"/>
  <c r="H32" i="3"/>
  <c r="L32" i="3"/>
  <c r="J32" i="3"/>
  <c r="V31" i="3"/>
  <c r="R31" i="3"/>
  <c r="T31" i="3"/>
  <c r="J31" i="3"/>
  <c r="H31" i="3"/>
  <c r="L31" i="3"/>
  <c r="V30" i="3"/>
  <c r="T30" i="3"/>
  <c r="R30" i="3"/>
  <c r="H30" i="3"/>
  <c r="J30" i="3"/>
  <c r="L30" i="3"/>
  <c r="H29" i="3"/>
  <c r="L29" i="3"/>
  <c r="J29" i="3"/>
  <c r="V28" i="3"/>
  <c r="T28" i="3"/>
  <c r="R28" i="3"/>
  <c r="H28" i="3"/>
  <c r="J28" i="3"/>
  <c r="L28" i="3"/>
  <c r="V27" i="3"/>
  <c r="T27" i="3"/>
  <c r="R27" i="3"/>
  <c r="H27" i="3"/>
  <c r="J27" i="3"/>
  <c r="L27" i="3"/>
  <c r="V18" i="3"/>
  <c r="T18" i="3"/>
  <c r="R18" i="3"/>
  <c r="H18" i="3"/>
  <c r="J18" i="3"/>
  <c r="L18" i="3"/>
  <c r="V17" i="3"/>
  <c r="T17" i="3"/>
  <c r="R17" i="3"/>
  <c r="H17" i="3"/>
  <c r="J17" i="3"/>
  <c r="L17" i="3"/>
  <c r="H16" i="3"/>
  <c r="J16" i="3"/>
  <c r="L16" i="3"/>
  <c r="V15" i="3"/>
  <c r="R15" i="3"/>
  <c r="T15" i="3"/>
  <c r="H15" i="3"/>
  <c r="J15" i="3"/>
  <c r="L15" i="3"/>
  <c r="V14" i="3"/>
  <c r="T14" i="3"/>
  <c r="R14" i="3"/>
  <c r="H14" i="3"/>
  <c r="J14" i="3"/>
  <c r="L14" i="3"/>
  <c r="T13" i="3"/>
  <c r="R13" i="3"/>
  <c r="V13" i="3"/>
  <c r="H13" i="3"/>
  <c r="J13" i="3"/>
  <c r="L13" i="3"/>
  <c r="H12" i="3"/>
  <c r="L12" i="3"/>
  <c r="V11" i="3"/>
  <c r="T11" i="3"/>
  <c r="R11" i="3"/>
  <c r="H11" i="3"/>
  <c r="J11" i="3"/>
  <c r="L11" i="3"/>
  <c r="H34" i="1"/>
  <c r="L34" i="1"/>
  <c r="L33" i="1"/>
  <c r="H33" i="1"/>
  <c r="H32" i="1"/>
  <c r="J32" i="1"/>
  <c r="L32" i="1"/>
  <c r="V31" i="1"/>
  <c r="T31" i="1"/>
  <c r="R31" i="1"/>
  <c r="J31" i="1"/>
  <c r="H31" i="1"/>
  <c r="L31" i="1"/>
  <c r="H30" i="1"/>
  <c r="J30" i="1"/>
  <c r="J29" i="1"/>
  <c r="H29" i="1"/>
  <c r="H28" i="1"/>
  <c r="L28" i="1"/>
  <c r="V27" i="1"/>
  <c r="T27" i="1"/>
  <c r="R27" i="1"/>
  <c r="H27" i="1"/>
  <c r="J27" i="1"/>
  <c r="L27" i="1"/>
  <c r="V18" i="1"/>
  <c r="T18" i="1"/>
  <c r="R18" i="1"/>
  <c r="L18" i="1"/>
  <c r="H18" i="1"/>
  <c r="J18" i="1"/>
  <c r="J17" i="1"/>
  <c r="H17" i="1"/>
  <c r="V16" i="1"/>
  <c r="T16" i="1"/>
  <c r="R16" i="1"/>
  <c r="H16" i="1"/>
  <c r="J16" i="1"/>
  <c r="L16" i="1"/>
  <c r="J15" i="1"/>
  <c r="H15" i="1"/>
  <c r="V14" i="1"/>
  <c r="T14" i="1"/>
  <c r="R14" i="1"/>
  <c r="H14" i="1"/>
  <c r="L14" i="1"/>
  <c r="J14" i="1"/>
  <c r="J13" i="1"/>
  <c r="L13" i="1"/>
  <c r="V12" i="1"/>
  <c r="T12" i="1"/>
  <c r="R12" i="1"/>
  <c r="H12" i="1"/>
  <c r="J12" i="1"/>
  <c r="L12" i="1"/>
  <c r="V11" i="1"/>
  <c r="T11" i="1"/>
  <c r="R11" i="1"/>
  <c r="H11" i="1"/>
  <c r="J11" i="1"/>
  <c r="L11" i="1"/>
  <c r="V29" i="3" l="1"/>
  <c r="T29" i="3"/>
  <c r="R29" i="3"/>
  <c r="V16" i="3"/>
  <c r="T16" i="3"/>
  <c r="R16" i="3"/>
  <c r="V12" i="3"/>
  <c r="T12" i="3"/>
  <c r="R12" i="3"/>
  <c r="V34" i="1"/>
  <c r="T34" i="1"/>
  <c r="R34" i="1"/>
  <c r="V33" i="1"/>
  <c r="R33" i="1"/>
  <c r="T33" i="1"/>
  <c r="V32" i="1"/>
  <c r="T32" i="1"/>
  <c r="R32" i="1"/>
  <c r="V30" i="1"/>
  <c r="T30" i="1"/>
  <c r="R30" i="1"/>
  <c r="V29" i="1"/>
  <c r="T29" i="1"/>
  <c r="R29" i="1"/>
  <c r="V28" i="1"/>
  <c r="T28" i="1"/>
  <c r="R28" i="1"/>
  <c r="V17" i="1"/>
  <c r="T17" i="1"/>
  <c r="R17" i="1"/>
  <c r="V15" i="1"/>
  <c r="T15" i="1"/>
  <c r="R15" i="1"/>
  <c r="V13" i="1"/>
  <c r="T13" i="1"/>
  <c r="R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Janou De Buyser</author>
  </authors>
  <commentList>
    <comment ref="AC5" authorId="0" shapeId="0" xr:uid="{D437B22C-0D45-43E3-8A69-D88E244ADEDD}">
      <text>
        <r>
          <rPr>
            <b/>
            <sz val="9"/>
            <color indexed="81"/>
            <rFont val="Tahoma"/>
            <charset val="1"/>
          </rPr>
          <t>Janou De Buyser:</t>
        </r>
        <r>
          <rPr>
            <sz val="9"/>
            <color indexed="81"/>
            <rFont val="Tahoma"/>
            <charset val="1"/>
          </rPr>
          <t xml:space="preserve">
Drempelwaarde voor pressure relief volgens de richtlijn (&gt;200 kPa). Pas hier aan indien nodig.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Janou De Buyser</author>
  </authors>
  <commentList>
    <comment ref="AC5" authorId="0" shapeId="0" xr:uid="{78D46782-F8B6-4D36-963B-CF4613E88FFA}">
      <text>
        <r>
          <rPr>
            <b/>
            <sz val="9"/>
            <color indexed="81"/>
            <rFont val="Tahoma"/>
            <charset val="1"/>
          </rPr>
          <t>Janou De Buyser:</t>
        </r>
        <r>
          <rPr>
            <sz val="9"/>
            <color indexed="81"/>
            <rFont val="Tahoma"/>
            <charset val="1"/>
          </rPr>
          <t xml:space="preserve">
Drempelwaarde voor pressure relief volgens de richtlijn (&gt;200 kPa). Pas hier aan indien nodig.</t>
        </r>
      </text>
    </comment>
  </commentList>
</comments>
</file>

<file path=xl/sharedStrings.xml><?xml version="1.0" encoding="utf-8"?>
<sst xmlns="http://schemas.openxmlformats.org/spreadsheetml/2006/main" count="363" uniqueCount="112">
  <si>
    <t>LEFT</t>
  </si>
  <si>
    <t>Peak Pressure (kPa)</t>
  </si>
  <si>
    <t>RIGHT</t>
  </si>
  <si>
    <t>Patient ID:</t>
  </si>
  <si>
    <t>Date:</t>
  </si>
  <si>
    <t>Guidelines:</t>
  </si>
  <si>
    <t>Target region</t>
  </si>
  <si>
    <t>PARADISE PROJECT</t>
  </si>
  <si>
    <t>Pressure Monitoring Tool  |  Plantar peak pressure &amp; offloading follow-up</t>
  </si>
  <si>
    <t>LEFT foot — peak pressure (kPa)</t>
  </si>
  <si>
    <t>Region</t>
  </si>
  <si>
    <t>Threshold 200 kPa</t>
  </si>
  <si>
    <t>RIGHT foot — peak pressure (kPa)</t>
  </si>
  <si>
    <t>Threshold (kPa):</t>
  </si>
  <si>
    <t>Chart data (auto-filled from the tables — do not edit)</t>
  </si>
  <si>
    <t>% verschil t.o.v. zonder zool</t>
  </si>
  <si>
    <t>Zonder zool</t>
  </si>
  <si>
    <t>Met zool - sessie 1</t>
  </si>
  <si>
    <t>Met zool - sessie 2</t>
  </si>
  <si>
    <t>Met zool - sessie 3</t>
  </si>
  <si>
    <t>Drukmeting - invulblad voor de clinicus</t>
  </si>
  <si>
    <t>Hoort bij eCRF 09b (werkinstructie), eCRF 09 (baseline) en eCRF 24 (drukherverdeling). Invullen tijdens de meting.</t>
  </si>
  <si>
    <t>1. Identificatie</t>
  </si>
  <si>
    <t>Deelnemerscode</t>
  </si>
  <si>
    <t>Visite</t>
  </si>
  <si>
    <t>Datum</t>
  </si>
  <si>
    <t>Centrum</t>
  </si>
  <si>
    <t>Clinicus</t>
  </si>
  <si>
    <t>Schoeisel</t>
  </si>
  <si>
    <t>Zool links</t>
  </si>
  <si>
    <t>Zool rechts</t>
  </si>
  <si>
    <t>Sample rate</t>
  </si>
  <si>
    <t>binnenschoeisel</t>
  </si>
  <si>
    <t>100 Hz</t>
  </si>
  <si>
    <t>Zoolcode overnemen van het label (bv. XW.831L / XW.830R) en controleren dat het configuratiebestand dezelfde code draagt.</t>
  </si>
  <si>
    <t>Op visite 1 is er nog geen studieschoeisel: dan meet je in de schoenen waarmee de deelnemer binnenkomt, en alleen conditie A.</t>
  </si>
  <si>
    <t>2. Toestellen</t>
  </si>
  <si>
    <t>Toestel</t>
  </si>
  <si>
    <t>Naam</t>
  </si>
  <si>
    <t>Batterij (%)</t>
  </si>
  <si>
    <t>Configuratiebestand</t>
  </si>
  <si>
    <t>Links</t>
  </si>
  <si>
    <t>plidar-G009L</t>
  </si>
  <si>
    <t>Rechts</t>
  </si>
  <si>
    <t>plidar-G026R</t>
  </si>
  <si>
    <t>Minstens 30% batterij om te beginnen. Vergelijk het configuratiebestand letter voor letter met het zoollabel: de software waarschuwt niet.</t>
  </si>
  <si>
    <t>3. Afgelezen onderaan het MPP-scherm</t>
  </si>
  <si>
    <t>LINKS</t>
  </si>
  <si>
    <t>RECHTS</t>
  </si>
  <si>
    <t>Waarde</t>
  </si>
  <si>
    <t>A - zonder zool</t>
  </si>
  <si>
    <t>B - met zool</t>
  </si>
  <si>
    <t>Maximum force (N)</t>
  </si>
  <si>
    <t>Peak pressure (kPa)</t>
  </si>
  <si>
    <t>Average pressure (kPa)</t>
  </si>
  <si>
    <t>Loaded area (cm2)</t>
  </si>
  <si>
    <t>Voet</t>
  </si>
  <si>
    <t>Regio</t>
  </si>
  <si>
    <t>Norm gehaald?</t>
  </si>
  <si>
    <t>Links 1</t>
  </si>
  <si>
    <t>Links 2</t>
  </si>
  <si>
    <t>Links 3</t>
  </si>
  <si>
    <t>Rechts 1</t>
  </si>
  <si>
    <t>Rechts 2</t>
  </si>
  <si>
    <t>Rechts 3</t>
  </si>
  <si>
    <t>5. De drie doelregio's</t>
  </si>
  <si>
    <t>Vanaf maand 6 niet opnieuw kiezen maar overnemen van het vorige formulier.</t>
  </si>
  <si>
    <t>Doelregio</t>
  </si>
  <si>
    <t>Reden</t>
  </si>
  <si>
    <t>6. Schermafbeelding van het MPP-beeld</t>
  </si>
  <si>
    <t>Windows + Shift + S, kader rond het voetbeeld en de kleurenschaal, dan Ctrl + V in het vak hieronder. Wijzig het palet nooit tussen deelnemers of visites.</t>
  </si>
  <si>
    <t>Opslaan en mailen naar janou.debuyser@kuleuven.be. Laat het bestand daarna op de laptop staan - verwijder het nooit zelf.</t>
  </si>
  <si>
    <t>Zonder zool vandaag (kPa)</t>
  </si>
  <si>
    <t>4. Drie regio's per voet - de vorige voetzweer eerst</t>
  </si>
  <si>
    <t>Opvolging - maand 6, 12 of 18</t>
  </si>
  <si>
    <t>Vorige voetzweer links (kies uit de lijst):</t>
  </si>
  <si>
    <t>Vorige voetzweer rechts (kies uit de lijst):</t>
  </si>
  <si>
    <t>I_Links Hallux</t>
  </si>
  <si>
    <t>J_Links Tenen 2-5</t>
  </si>
  <si>
    <t>K_Links Metatarsaal 1</t>
  </si>
  <si>
    <t>L_Links Metatarsaal 2-3</t>
  </si>
  <si>
    <t>M_Links Metatarsaal 4-5</t>
  </si>
  <si>
    <t>N_Links Mediale middenvoet</t>
  </si>
  <si>
    <t>O_Links Laterale middenvoet</t>
  </si>
  <si>
    <t>P_Links Hiel</t>
  </si>
  <si>
    <t>A_Rechts Hallux</t>
  </si>
  <si>
    <t>B_Rechts Tenen 2-5</t>
  </si>
  <si>
    <t>C_Rechts Metatarsaal 1</t>
  </si>
  <si>
    <t>D_Rechts Metatarsaal 2-3</t>
  </si>
  <si>
    <t>E_Rechts Metatarsaal 4-5</t>
  </si>
  <si>
    <t>F_Rechts Mediale middenvoet</t>
  </si>
  <si>
    <t>G_Rechts Laterale middenvoet</t>
  </si>
  <si>
    <t>H_Rechts Hiel</t>
  </si>
  <si>
    <t>Doelregio: top-2 voor-/middenvoet &gt;200 kPa + vorige voetzweer</t>
  </si>
  <si>
    <t>Doelregio's per voet: de regio van de vorige voetzweer - altijd, ook onder 200 kPa - plus de twee regio's in voorvoet of middenvoet met de hoogste piekdruk boven 200 kPa zonder zool. De hiel telt alleen mee als daar de vorige voetzweer zat.</t>
  </si>
  <si>
    <t>Op visite 2 aanduiden, per voet: de regio van de vorige voetzweer, plus de twee regio's in voorvoet of middenvoet met de hoogste piekdruk boven 200 kPa zonder zool. De hiel telt alleen mee als daar de vorige voetzweer zat.</t>
  </si>
  <si>
    <t>Eerst de regio van de vorige voetzweer (eCRF 06), ook als de druk daar laag is; vul aan met de regio's met de hoogste piekdruk. De topkleur betekent: op of boven 200 kPa. Regio's: hiel, mediale middenvoet, laterale middenvoet, metatarsaal 1, metatarsaal 2-3, metatarsaal 4-5, hallux, tenen 2-5.</t>
  </si>
  <si>
    <t>PIEKDRUK PER REGIO - VISITE 2, ZONDER ZOOL</t>
  </si>
  <si>
    <t>PIEKDRUK PER REGIO - VISITE 2, MET ZOOL (SESSIE 1)</t>
  </si>
  <si>
    <t>In te vullen door het studieteam. Rechts A-H (boven), links I-P (onder); kolom J = piekdruk (kPa).</t>
  </si>
  <si>
    <t>Met zool, vorige meting (kPa)</t>
  </si>
  <si>
    <t>Met zool vandaag (kPa)</t>
  </si>
  <si>
    <t>% lager dan zonder zool vandaag</t>
  </si>
  <si>
    <t>Stijging &gt;= 5% t.o.v. vorige meting?</t>
  </si>
  <si>
    <t>Norm: piekdruk met zool onder 200 kPa, OF minstens 25% lager dan zonder zool in dezelfde sessie (kolom E). Eén van beide volstaat. Kolom D is de piekdruk met zool van de vorige meting (leeg op visite 2): daarmee zie je een stijging van 5% of meer.</t>
  </si>
  <si>
    <t>Bij NEE, of bij een stijging van 5% of meer: de pedorthist past de zool aan en je meet opnieuw met zool, tot drie aanpassingen. Noteer de extra ontlastingstesten (1 tot 3) op eCRF 24.</t>
  </si>
  <si>
    <t>Usual Care: alleen op visite 1 en maand 6, geblindeerd (palet met drempel 50 kPa, waarden uit). Vul alleen blok 1 en 2 in en lees niets af; het studieteam haalt de waarden centraal uit het exportbestand.</t>
  </si>
  <si>
    <t>Met zool - sessie 4</t>
  </si>
  <si>
    <t>Zonder zool - deze sessie</t>
  </si>
  <si>
    <t>% t.o.v. zonder zool deze sessie</t>
  </si>
  <si>
    <t>Visite 2 - aflevering CMFO</t>
  </si>
  <si>
    <t>Norm per doelregio: piekdruk met zool onder 200 kPa, of minstens 25% lager dan zonder zool in dezelfde sessie. Eén van beide volstaat. Tot drie aanpassingen per sessie (sessie 1 tot 4). Pas de zool ook aan als de piekdruk met zool 5% of meer hoger ligt dan na de laatste aanpassing op visite 2: die cel kleurt oranje.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</si>
</sst>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8"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8"/>
      <name val="Aptos Narrow"/>
      <family val="2"/>
      <scheme val="minor"/>
    </font>
    <font>
      <b/>
      <sz val="24"/>
      <color rgb="FF1A4F9C"/>
      <name val="Aptos Narrow"/>
      <scheme val="minor"/>
    </font>
    <font>
      <sz val="11"/>
      <color rgb="FF6E7072"/>
      <name val="Aptos Narrow"/>
      <scheme val="minor"/>
    </font>
    <font>
      <b/>
      <sz val="13"/>
      <color rgb="FFFFFFFF"/>
      <name val="Aptos Narrow"/>
      <scheme val="minor"/>
    </font>
    <font>
      <b/>
      <sz val="14"/>
      <color rgb="FFFFFFFF"/>
      <name val="Aptos Narrow"/>
      <scheme val="minor"/>
    </font>
    <font>
      <b/>
      <sz val="11"/>
      <color rgb="FFFFFFFF"/>
      <name val="Aptos Narrow"/>
      <scheme val="minor"/>
    </font>
    <font>
      <b/>
      <sz val="10"/>
      <color rgb="FFFFFFFF"/>
      <name val="Aptos Narrow"/>
      <scheme val="minor"/>
    </font>
    <font>
      <b/>
      <sz val="9"/>
      <color rgb="FF1A4F9C"/>
      <name val="Aptos Narrow"/>
      <scheme val="minor"/>
    </font>
    <font>
      <b/>
      <sz val="11"/>
      <color rgb="FF20303F"/>
      <name val="Aptos Narrow"/>
      <scheme val="minor"/>
    </font>
    <font>
      <b/>
      <sz val="11"/>
      <color rgb="FF20303F"/>
      <name val="Aptos Narrow"/>
      <family val="2"/>
      <scheme val="minor"/>
    </font>
    <font>
      <sz val="11"/>
      <color rgb="FF20303F"/>
      <name val="Aptos Narrow"/>
      <family val="2"/>
      <scheme val="minor"/>
    </font>
    <font>
      <b/>
      <sz val="11"/>
      <color rgb="FFB26A00"/>
      <name val="Aptos Narrow"/>
      <family val="2"/>
      <scheme val="minor"/>
    </font>
    <font>
      <i/>
      <sz val="10"/>
      <color rgb="FF6E7072"/>
      <name val="Aptos Narrow"/>
      <scheme val="minor"/>
    </font>
    <font>
      <b/>
      <sz val="12"/>
      <color rgb="FF1A4F9C"/>
      <name val="Aptos Narrow"/>
      <scheme val="minor"/>
    </font>
    <font>
      <b/>
      <sz val="11"/>
      <color rgb="FF1A4F9C"/>
      <name val="Aptos Narrow"/>
      <scheme val="minor"/>
    </font>
    <font>
      <sz val="11"/>
      <color rgb="FF0000FF"/>
      <name val="Aptos Narrow"/>
      <scheme val="minor"/>
    </font>
    <font>
      <i/>
      <u/>
      <sz val="10"/>
      <color rgb="FF40484F"/>
      <name val="Aptos Narrow"/>
    </font>
    <font>
      <i/>
      <sz val="10"/>
      <color rgb="FF40484F"/>
      <name val="Aptos Narrow"/>
    </font>
    <font>
      <b/>
      <sz val="11"/>
      <color rgb="FF0000FF"/>
      <name val="Aptos Narrow"/>
      <family val="2"/>
      <scheme val="minor"/>
    </font>
    <font>
      <sz val="9"/>
      <color indexed="81"/>
      <name val="Tahoma"/>
      <charset val="1"/>
    </font>
    <font>
      <b/>
      <sz val="9"/>
      <color indexed="81"/>
      <name val="Tahoma"/>
      <charset val="1"/>
    </font>
    <font>
      <b/>
      <sz val="9"/>
      <color rgb="FFFFFFFF"/>
      <name val="Aptos Narrow"/>
      <scheme val="minor"/>
    </font>
    <font>
      <sz val="9"/>
      <color theme="1"/>
      <name val="Aptos Narrow"/>
      <scheme val="minor"/>
    </font>
    <font>
      <i/>
      <sz val="9"/>
      <color rgb="FF6E7072"/>
      <name val="Aptos Narrow"/>
      <scheme val="minor"/>
    </font>
    <font>
      <b/>
      <sz val="12"/>
      <color rgb="FF123A5F"/>
      <name val="Arial"/>
      <family val="2"/>
    </font>
    <font>
      <b/>
      <sz val="14"/>
      <color rgb="FF123A5F"/>
      <name val="Arial"/>
      <family val="2"/>
    </font>
    <font>
      <i/>
      <sz val="9"/>
      <color theme="1"/>
      <name val="Arial"/>
      <family val="2"/>
    </font>
    <font>
      <b/>
      <sz val="11"/>
      <color rgb="FF123A5F"/>
      <name val="Arial"/>
      <family val="2"/>
    </font>
    <font>
      <sz val="10"/>
      <color theme="1"/>
      <name val="Arial"/>
      <family val="2"/>
    </font>
    <font>
      <b/>
      <sz val="10"/>
      <color theme="1"/>
      <name val="Arial"/>
      <family val="2"/>
    </font>
    <font>
      <b/>
      <sz val="10"/>
      <color rgb="FF123A5F"/>
      <name val="Arial"/>
      <family val="2"/>
    </font>
    <font>
      <b/>
      <sz val="9"/>
      <color theme="1"/>
      <name val="Arial"/>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FF"/>
        <bgColor indexed="64"/>
      </patternFill>
    </fill>
    <fill>
      <patternFill patternType="solid">
        <fgColor rgb="FF1A4F9C"/>
        <bgColor indexed="64"/>
      </patternFill>
    </fill>
    <fill>
      <patternFill patternType="solid">
        <fgColor rgb="FF29A8DF"/>
        <bgColor indexed="64"/>
      </patternFill>
    </fill>
    <fill>
      <patternFill patternType="solid">
        <fgColor rgb="FF6E7072"/>
        <bgColor indexed="64"/>
      </patternFill>
    </fill>
    <fill>
      <patternFill patternType="solid">
        <fgColor rgb="FFF5A623"/>
        <bgColor indexed="64"/>
      </patternFill>
    </fill>
    <fill>
      <patternFill patternType="solid">
        <fgColor rgb="FFEAF1FA"/>
        <bgColor indexed="64"/>
      </patternFill>
    </fill>
    <fill>
      <patternFill patternType="solid">
        <fgColor rgb="FFF5F8FC"/>
        <bgColor indexed="64"/>
      </patternFill>
    </fill>
    <fill>
      <patternFill patternType="solid">
        <fgColor rgb="FFFFFFD9"/>
        <bgColor indexed="64"/>
      </patternFill>
    </fill>
    <fill>
      <patternFill patternType="solid">
        <fgColor rgb="FFE6E6E6"/>
        <bgColor indexed="64"/>
      </patternFill>
    </fill>
  </fills>
  <borders count="18">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FD3EA"/>
      </left>
      <right style="thin">
        <color rgb="FFBFD3EA"/>
      </right>
      <top style="thin">
        <color rgb="FFBFD3EA"/>
      </top>
      <bottom style="thin">
        <color rgb="FFBFD3EA"/>
      </bottom>
      <diagonal/>
    </border>
    <border>
      <left style="thin">
        <color indexed="64"/>
      </left>
      <right/>
      <top style="thin">
        <color indexed="64"/>
      </top>
      <bottom style="thin">
        <color rgb="FF1A4F9C"/>
      </bottom>
      <diagonal/>
    </border>
    <border>
      <left style="thin">
        <color indexed="64"/>
      </left>
      <right style="thin">
        <color indexed="64"/>
      </right>
      <top style="thin">
        <color indexed="64"/>
      </top>
      <bottom style="thin">
        <color rgb="FF1A4F9C"/>
      </bottom>
      <diagonal/>
    </border>
    <border>
      <left style="thick">
        <color rgb="FFF5A623"/>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rgb="FFBFD3EA"/>
      </bottom>
      <diagonal/>
    </border>
    <border>
      <left/>
      <right/>
      <top/>
      <bottom style="thin">
        <color rgb="FFBFD3EA"/>
      </bottom>
      <diagonal/>
    </border>
    <border>
      <left style="thin">
        <color rgb="FFBFD3EA"/>
      </left>
      <right/>
      <top/>
      <bottom/>
      <diagonal/>
    </border>
  </borders>
  <cellStyleXfs count="1">
    <xf numFmtId="0" fontId="0" fillId="0" borderId="0"/>
  </cellStyleXfs>
  <cellXfs count="108">
    <xf numFmtId="0" fontId="0" fillId="0" borderId="0" xfId="0"/>
    <xf numFmtId="0" fontId="0" fillId="0" borderId="0" xfId="0" applyAlignment="1">
      <alignment vertical="center" wrapText="1"/>
    </xf>
    <xf numFmtId="0" fontId="0" fillId="0" borderId="0" xfId="0" applyAlignment="1">
      <alignment horizontal="center"/>
    </xf>
    <xf numFmtId="0" fontId="4" fillId="2" borderId="0" xfId="0" applyFont="1" applyFill="1"/>
    <xf numFmtId="0" fontId="0" fillId="0" borderId="0" xfId="0" applyAlignment="1">
      <alignment horizontal="center" vertical="center"/>
    </xf>
    <xf numFmtId="0" fontId="0" fillId="3" borderId="0" xfId="0" applyFill="1"/>
    <xf numFmtId="0" fontId="4" fillId="3" borderId="0" xfId="0" applyFont="1" applyFill="1"/>
    <xf numFmtId="0" fontId="0" fillId="2" borderId="0" xfId="0" applyFill="1"/>
    <xf numFmtId="0" fontId="2" fillId="0" borderId="0" xfId="0" applyFont="1"/>
    <xf numFmtId="0" fontId="2" fillId="2" borderId="0" xfId="0" applyFont="1" applyFill="1"/>
    <xf numFmtId="0" fontId="0" fillId="4" borderId="0" xfId="0" applyFill="1"/>
    <xf numFmtId="0" fontId="3" fillId="0" borderId="0" xfId="0" applyFont="1" applyAlignment="1">
      <alignment vertical="center" wrapText="1"/>
    </xf>
    <xf numFmtId="0" fontId="3" fillId="0" borderId="0" xfId="0" applyFont="1" applyAlignment="1">
      <alignment horizontal="center"/>
    </xf>
    <xf numFmtId="0" fontId="0" fillId="5" borderId="0" xfId="0" applyFill="1"/>
    <xf numFmtId="0" fontId="0" fillId="6" borderId="0" xfId="0" applyFill="1"/>
    <xf numFmtId="0" fontId="5" fillId="0" borderId="0" xfId="0" applyFont="1"/>
    <xf numFmtId="0" fontId="3" fillId="0" borderId="0" xfId="0" applyFont="1"/>
    <xf numFmtId="0" fontId="5" fillId="0" borderId="0" xfId="0" applyFont="1" applyAlignment="1">
      <alignment horizontal="center" vertical="center"/>
    </xf>
    <xf numFmtId="14" fontId="5" fillId="0" borderId="0" xfId="0" applyNumberFormat="1" applyFont="1" applyAlignment="1">
      <alignment horizont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4" fillId="0" borderId="0" xfId="0" applyFont="1"/>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4" xfId="0" applyBorder="1"/>
    <xf numFmtId="0" fontId="16" fillId="5" borderId="0" xfId="0" applyFont="1" applyFill="1" applyAlignment="1">
      <alignment horizontal="center" vertical="center"/>
    </xf>
    <xf numFmtId="0" fontId="0" fillId="0" borderId="10" xfId="0" applyBorder="1"/>
    <xf numFmtId="0" fontId="4" fillId="0" borderId="10" xfId="0" applyFont="1" applyBorder="1"/>
    <xf numFmtId="0" fontId="13" fillId="10" borderId="10" xfId="0" applyFont="1" applyFill="1" applyBorder="1" applyAlignment="1">
      <alignment horizontal="center" vertical="center" wrapText="1"/>
    </xf>
    <xf numFmtId="0" fontId="14" fillId="11" borderId="10" xfId="0" applyFont="1" applyFill="1" applyBorder="1" applyAlignment="1">
      <alignment vertical="center" wrapText="1"/>
    </xf>
    <xf numFmtId="0" fontId="15" fillId="5" borderId="10"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6" fillId="5" borderId="10" xfId="0" applyFont="1" applyFill="1" applyBorder="1" applyAlignment="1">
      <alignment horizontal="center" vertical="center"/>
    </xf>
    <xf numFmtId="0" fontId="16" fillId="5" borderId="10" xfId="0" applyFont="1" applyFill="1" applyBorder="1" applyAlignment="1">
      <alignment horizontal="center" vertical="center" wrapText="1"/>
    </xf>
    <xf numFmtId="0" fontId="4" fillId="0" borderId="9" xfId="0" applyFont="1" applyBorder="1"/>
    <xf numFmtId="164" fontId="16" fillId="5" borderId="10" xfId="0" applyNumberFormat="1" applyFont="1" applyFill="1" applyBorder="1" applyAlignment="1">
      <alignment horizontal="center" vertical="center"/>
    </xf>
    <xf numFmtId="0" fontId="18" fillId="0" borderId="0" xfId="0" applyFont="1"/>
    <xf numFmtId="0" fontId="19" fillId="0" borderId="0" xfId="0" applyFont="1"/>
    <xf numFmtId="0" fontId="0" fillId="11" borderId="0" xfId="0" applyFill="1" applyAlignment="1">
      <alignment horizontal="center"/>
    </xf>
    <xf numFmtId="0" fontId="0" fillId="11" borderId="0" xfId="0" applyFill="1"/>
    <xf numFmtId="0" fontId="4" fillId="0" borderId="0" xfId="0" applyFont="1" applyAlignment="1">
      <alignment vertical="center" wrapText="1"/>
    </xf>
    <xf numFmtId="0" fontId="0" fillId="11" borderId="0" xfId="0" applyFill="1" applyAlignment="1">
      <alignment horizontal="center" vertical="center"/>
    </xf>
    <xf numFmtId="0" fontId="2" fillId="11" borderId="0" xfId="0" applyFont="1" applyFill="1"/>
    <xf numFmtId="0" fontId="2" fillId="11" borderId="0" xfId="0" applyFont="1" applyFill="1" applyAlignment="1">
      <alignment horizontal="center" vertical="center"/>
    </xf>
    <xf numFmtId="0" fontId="2" fillId="11" borderId="0" xfId="0" applyFont="1" applyFill="1" applyAlignment="1">
      <alignment horizontal="center"/>
    </xf>
    <xf numFmtId="0" fontId="0" fillId="11" borderId="13" xfId="0" applyFill="1" applyBorder="1"/>
    <xf numFmtId="0" fontId="22" fillId="11" borderId="13" xfId="0" applyFont="1" applyFill="1" applyBorder="1"/>
    <xf numFmtId="0" fontId="23" fillId="11" borderId="13" xfId="0" applyFont="1" applyFill="1" applyBorder="1" applyAlignment="1">
      <alignment horizontal="left" vertical="center"/>
    </xf>
    <xf numFmtId="0" fontId="24" fillId="2" borderId="0" xfId="0" applyFont="1" applyFill="1"/>
    <xf numFmtId="0" fontId="20" fillId="2" borderId="0" xfId="0" applyFont="1" applyFill="1" applyAlignment="1">
      <alignment horizontal="right"/>
    </xf>
    <xf numFmtId="0" fontId="13" fillId="11" borderId="2" xfId="0" applyFont="1" applyFill="1" applyBorder="1" applyAlignment="1">
      <alignment horizontal="center" vertical="center"/>
    </xf>
    <xf numFmtId="0" fontId="27" fillId="8" borderId="10" xfId="0" applyFont="1" applyFill="1" applyBorder="1" applyAlignment="1">
      <alignment horizontal="center" vertical="center" wrapText="1"/>
    </xf>
    <xf numFmtId="0" fontId="12" fillId="8" borderId="10" xfId="0" applyFont="1" applyFill="1" applyBorder="1" applyAlignment="1">
      <alignment horizontal="center" vertical="center"/>
    </xf>
    <xf numFmtId="0" fontId="12" fillId="9" borderId="10" xfId="0" applyFont="1" applyFill="1" applyBorder="1" applyAlignment="1">
      <alignment horizontal="center" vertical="center"/>
    </xf>
    <xf numFmtId="0" fontId="0" fillId="0" borderId="0" xfId="0" applyAlignment="1">
      <alignment vertical="center"/>
    </xf>
    <xf numFmtId="0" fontId="13" fillId="11" borderId="0" xfId="0" applyFont="1" applyFill="1" applyAlignment="1">
      <alignment vertical="center"/>
    </xf>
    <xf numFmtId="0" fontId="5" fillId="11" borderId="0" xfId="0" applyFont="1" applyFill="1" applyAlignment="1">
      <alignment vertical="center"/>
    </xf>
    <xf numFmtId="14" fontId="21" fillId="5" borderId="12" xfId="0" applyNumberFormat="1" applyFont="1" applyFill="1" applyBorder="1" applyAlignment="1">
      <alignment horizontal="center" vertical="center"/>
    </xf>
    <xf numFmtId="0" fontId="0" fillId="11" borderId="0" xfId="0" applyFill="1" applyAlignment="1">
      <alignment vertical="center"/>
    </xf>
    <xf numFmtId="0" fontId="28" fillId="2" borderId="0" xfId="0" applyFont="1" applyFill="1"/>
    <xf numFmtId="0" fontId="13" fillId="2" borderId="0" xfId="0" applyFont="1" applyFill="1"/>
    <xf numFmtId="0" fontId="29" fillId="2" borderId="0" xfId="0" applyFont="1" applyFill="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0" fillId="12" borderId="14" xfId="0" applyFill="1" applyBorder="1"/>
    <xf numFmtId="0" fontId="36" fillId="0" borderId="0" xfId="0" applyFont="1"/>
    <xf numFmtId="0" fontId="37" fillId="0" borderId="0" xfId="0" applyFont="1"/>
    <xf numFmtId="0" fontId="0" fillId="13" borderId="14" xfId="0" applyFill="1" applyBorder="1"/>
    <xf numFmtId="165" fontId="0" fillId="0" borderId="0" xfId="0" applyNumberFormat="1"/>
    <xf numFmtId="0" fontId="35" fillId="0" borderId="0" xfId="0" applyFont="1" applyAlignment="1">
      <alignment wrapText="1"/>
    </xf>
    <xf numFmtId="0" fontId="0" fillId="0" borderId="0" xfId="0" applyAlignment="1">
      <alignment wrapText="1"/>
    </xf>
    <xf numFmtId="0" fontId="14" fillId="11" borderId="10" xfId="0" applyFont="1" applyFill="1" applyBorder="1" applyAlignment="1">
      <alignment horizontal="center" vertical="center" shrinkToFit="1"/>
    </xf>
    <xf numFmtId="0" fontId="37" fillId="0" borderId="0" xfId="0" applyFont="1" applyAlignment="1">
      <alignment vertical="top" wrapText="1"/>
    </xf>
    <xf numFmtId="0" fontId="7" fillId="0" borderId="0" xfId="0" applyFont="1"/>
    <xf numFmtId="0" fontId="0" fillId="0" borderId="0" xfId="0"/>
    <xf numFmtId="0" fontId="8" fillId="0" borderId="0" xfId="0" applyFont="1"/>
    <xf numFmtId="0" fontId="11" fillId="7" borderId="10" xfId="0" applyFont="1" applyFill="1" applyBorder="1" applyAlignment="1">
      <alignment horizontal="center" vertical="center" wrapText="1"/>
    </xf>
    <xf numFmtId="0" fontId="0" fillId="0" borderId="10" xfId="0" applyBorder="1" applyAlignment="1">
      <alignment horizontal="center" vertical="center" wrapText="1"/>
    </xf>
    <xf numFmtId="0" fontId="21" fillId="5" borderId="11" xfId="0" applyFont="1" applyFill="1" applyBorder="1" applyAlignment="1">
      <alignment vertical="center" wrapText="1"/>
    </xf>
    <xf numFmtId="0" fontId="0" fillId="11" borderId="3" xfId="0" applyFill="1" applyBorder="1" applyAlignment="1">
      <alignment vertical="center" wrapText="1"/>
    </xf>
    <xf numFmtId="0" fontId="0" fillId="11" borderId="4" xfId="0" applyFill="1" applyBorder="1" applyAlignment="1">
      <alignment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8"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32" fillId="0" borderId="0" xfId="0" applyFont="1" applyAlignment="1">
      <alignment wrapText="1"/>
    </xf>
    <xf numFmtId="0" fontId="4" fillId="0" borderId="0" xfId="0" applyFont="1" applyBorder="1"/>
    <xf numFmtId="0" fontId="9" fillId="6" borderId="15"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0" fillId="0" borderId="0" xfId="0" applyBorder="1"/>
    <xf numFmtId="0" fontId="21" fillId="5" borderId="17" xfId="0" applyFont="1" applyFill="1" applyBorder="1" applyAlignment="1">
      <alignment vertical="center" wrapText="1"/>
    </xf>
    <xf numFmtId="0" fontId="21" fillId="5" borderId="0" xfId="0" applyFont="1" applyFill="1" applyBorder="1" applyAlignment="1">
      <alignment vertical="center" wrapText="1"/>
    </xf>
  </cellXfs>
  <cellStyles count="1">
    <cellStyle name="Standaard" xfId="0" builtinId="0"/>
  </cellStyles>
  <dxfs count="140">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FFFFFF"/>
      </font>
      <fill>
        <patternFill patternType="solid">
          <fgColor indexed="64"/>
          <bgColor rgb="FFF5A623"/>
        </patternFill>
      </fill>
    </dxf>
    <dxf>
      <font>
        <b/>
        <i val="0"/>
        <color rgb="FFFFFFFF"/>
      </font>
      <fill>
        <patternFill patternType="solid">
          <fgColor indexed="64"/>
          <bgColor rgb="FFF5A623"/>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ill>
        <patternFill>
          <bgColor rgb="FFFFC78C"/>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B3261E"/>
      </font>
      <fill>
        <patternFill>
          <bgColor rgb="FFFDE7E9"/>
        </patternFill>
      </fill>
    </dxf>
    <dxf>
      <font>
        <color rgb="FF0F6B33"/>
      </font>
      <fill>
        <patternFill>
          <bgColor rgb="FFE9F7EE"/>
        </patternFill>
      </fill>
    </dxf>
    <dxf>
      <font>
        <color rgb="FFB3261E"/>
      </font>
      <fill>
        <patternFill>
          <bgColor rgb="FFFDE7E9"/>
        </patternFill>
      </fill>
    </dxf>
    <dxf>
      <font>
        <color rgb="FF0F6B33"/>
      </font>
      <fill>
        <patternFill>
          <bgColor rgb="FFE9F7EE"/>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b/>
        <i val="0"/>
        <color rgb="FFFFFFFF"/>
      </font>
      <fill>
        <patternFill patternType="solid">
          <fgColor indexed="64"/>
          <bgColor rgb="FFF5A623"/>
        </patternFill>
      </fill>
    </dxf>
    <dxf>
      <font>
        <b/>
        <i val="0"/>
        <color rgb="FFFFFFFF"/>
      </font>
      <fill>
        <patternFill patternType="solid">
          <fgColor indexed="64"/>
          <bgColor rgb="FFF5A623"/>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
      <font>
        <color rgb="FF0F6B33"/>
      </font>
      <fill>
        <patternFill patternType="solid">
          <fgColor indexed="64"/>
          <bgColor rgb="FFE9F7EE"/>
        </patternFill>
      </fill>
    </dxf>
    <dxf>
      <font>
        <b/>
        <i val="0"/>
        <color rgb="FFB3261E"/>
      </font>
      <fill>
        <patternFill patternType="solid">
          <fgColor indexed="64"/>
          <bgColor rgb="FFFDE7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LINKS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Visit!$AA$7</c:f>
              <c:strCache>
                <c:ptCount val="1"/>
                <c:pt idx="0">
                  <c:v>Zonder zool</c:v>
                </c:pt>
              </c:strCache>
            </c:strRef>
          </c:tx>
          <c:spPr>
            <a:solidFill>
              <a:srgbClr val="6E7072"/>
            </a:solidFill>
            <a:ln>
              <a:noFill/>
            </a:ln>
            <a:effectLst/>
          </c:spPr>
          <c:invertIfNegative val="0"/>
          <c:cat>
            <c:strRef>
              <c:f>Visit!$Z$8:$Z$15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Visit!$AA$8:$AA$15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5CC-4C1E-852F-1F7930ECB44B}"/>
            </c:ext>
          </c:extLst>
        </c:ser>
        <c:ser>
          <c:idx val="1"/>
          <c:order val="1"/>
          <c:tx>
            <c:strRef>
              <c:f>Visit!$AB$7</c:f>
              <c:strCache>
                <c:ptCount val="1"/>
                <c:pt idx="0">
                  <c:v>Met zool - sessie 1</c:v>
                </c:pt>
              </c:strCache>
            </c:strRef>
          </c:tx>
          <c:spPr>
            <a:solidFill>
              <a:srgbClr val="29A8DF"/>
            </a:solidFill>
            <a:ln>
              <a:noFill/>
            </a:ln>
            <a:effectLst/>
          </c:spPr>
          <c:invertIfNegative val="0"/>
          <c:cat>
            <c:strRef>
              <c:f>Visit!$Z$8:$Z$15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Visit!$AB$8:$AB$15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B5CC-4C1E-852F-1F7930ECB44B}"/>
            </c:ext>
          </c:extLst>
        </c:ser>
        <c:dLbls>
          <c:showLegendKey val="0"/>
          <c:showVal val="0"/>
          <c:showCatName val="0"/>
          <c:showSerName val="0"/>
          <c:showPercent val="0"/>
          <c:showBubbleSize val="0"/>
        </c:dLbls>
        <c:gapWidth val="219"/>
        <c:overlap val="-27"/>
        <c:axId val="795627727"/>
        <c:axId val="571332335"/>
      </c:barChart>
      <c:lineChart>
        <c:grouping val="standard"/>
        <c:varyColors val="0"/>
        <c:ser>
          <c:idx val="2"/>
          <c:order val="2"/>
          <c:tx>
            <c:strRef>
              <c:f>Visit!$AC$7</c:f>
              <c:strCache>
                <c:ptCount val="1"/>
                <c:pt idx="0">
                  <c:v>Threshold 200 kPa</c:v>
                </c:pt>
              </c:strCache>
            </c:strRef>
          </c:tx>
          <c:spPr>
            <a:ln w="25400" cap="rnd">
              <a:solidFill>
                <a:srgbClr val="E23B4E"/>
              </a:solidFill>
              <a:prstDash val="solid"/>
              <a:round/>
            </a:ln>
            <a:effectLst/>
          </c:spPr>
          <c:marker>
            <c:symbol val="none"/>
          </c:marker>
          <c:cat>
            <c:strRef>
              <c:f>Visit!$Z$8:$Z$15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Visit!$AC$8:$AC$15</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B5CC-4C1E-852F-1F7930ECB44B}"/>
            </c:ext>
          </c:extLst>
        </c:ser>
        <c:dLbls>
          <c:showLegendKey val="0"/>
          <c:showVal val="0"/>
          <c:showCatName val="0"/>
          <c:showSerName val="0"/>
          <c:showPercent val="0"/>
          <c:showBubbleSize val="0"/>
        </c:dLbls>
        <c:marker val="1"/>
        <c:smooth val="0"/>
        <c:axId val="795627727"/>
        <c:axId val="571332335"/>
      </c:lineChart>
      <c:catAx>
        <c:axId val="7956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332335"/>
        <c:crosses val="autoZero"/>
        <c:auto val="1"/>
        <c:lblAlgn val="ctr"/>
        <c:lblOffset val="100"/>
        <c:noMultiLvlLbl val="0"/>
      </c:catAx>
      <c:valAx>
        <c:axId val="57133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RECHTS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Visit!$AA$19</c:f>
              <c:strCache>
                <c:ptCount val="1"/>
                <c:pt idx="0">
                  <c:v>Zonder zool</c:v>
                </c:pt>
              </c:strCache>
            </c:strRef>
          </c:tx>
          <c:spPr>
            <a:solidFill>
              <a:srgbClr val="6E7072"/>
            </a:solidFill>
            <a:ln>
              <a:noFill/>
            </a:ln>
            <a:effectLst/>
          </c:spPr>
          <c:invertIfNegative val="0"/>
          <c:cat>
            <c:strRef>
              <c:f>Visit!$Z$20:$Z$27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Visit!$AA$20:$AA$27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5FD-4B56-ADC3-03F36CCB9E22}"/>
            </c:ext>
          </c:extLst>
        </c:ser>
        <c:ser>
          <c:idx val="1"/>
          <c:order val="1"/>
          <c:tx>
            <c:strRef>
              <c:f>Visit!$AB$19</c:f>
              <c:strCache>
                <c:ptCount val="1"/>
                <c:pt idx="0">
                  <c:v>Met zool - sessie 1</c:v>
                </c:pt>
              </c:strCache>
            </c:strRef>
          </c:tx>
          <c:spPr>
            <a:solidFill>
              <a:srgbClr val="29A8DF"/>
            </a:solidFill>
            <a:ln>
              <a:noFill/>
            </a:ln>
            <a:effectLst/>
          </c:spPr>
          <c:invertIfNegative val="0"/>
          <c:cat>
            <c:strRef>
              <c:f>Visit!$Z$20:$Z$27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Visit!$AB$20:$AB$27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5FD-4B56-ADC3-03F36CCB9E22}"/>
            </c:ext>
          </c:extLst>
        </c:ser>
        <c:dLbls>
          <c:showLegendKey val="0"/>
          <c:showVal val="0"/>
          <c:showCatName val="0"/>
          <c:showSerName val="0"/>
          <c:showPercent val="0"/>
          <c:showBubbleSize val="0"/>
        </c:dLbls>
        <c:gapWidth val="219"/>
        <c:overlap val="-27"/>
        <c:axId val="795637471"/>
        <c:axId val="571248815"/>
      </c:barChart>
      <c:lineChart>
        <c:grouping val="standard"/>
        <c:varyColors val="0"/>
        <c:ser>
          <c:idx val="2"/>
          <c:order val="2"/>
          <c:tx>
            <c:strRef>
              <c:f>Visit!$AC$19</c:f>
              <c:strCache>
                <c:ptCount val="1"/>
                <c:pt idx="0">
                  <c:v>Threshold 200 kPa</c:v>
                </c:pt>
              </c:strCache>
            </c:strRef>
          </c:tx>
          <c:spPr>
            <a:ln w="25400" cap="rnd">
              <a:solidFill>
                <a:srgbClr val="E23B4E"/>
              </a:solidFill>
              <a:prstDash val="solid"/>
              <a:round/>
            </a:ln>
            <a:effectLst/>
          </c:spPr>
          <c:marker>
            <c:symbol val="none"/>
          </c:marker>
          <c:cat>
            <c:strRef>
              <c:f>Visit!$Z$20:$Z$27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Visit!$AC$20:$AC$27</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F5FD-4B56-ADC3-03F36CCB9E22}"/>
            </c:ext>
          </c:extLst>
        </c:ser>
        <c:dLbls>
          <c:showLegendKey val="0"/>
          <c:showVal val="0"/>
          <c:showCatName val="0"/>
          <c:showSerName val="0"/>
          <c:showPercent val="0"/>
          <c:showBubbleSize val="0"/>
        </c:dLbls>
        <c:marker val="1"/>
        <c:smooth val="0"/>
        <c:axId val="795637471"/>
        <c:axId val="571248815"/>
      </c:lineChart>
      <c:catAx>
        <c:axId val="7956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248815"/>
        <c:crosses val="autoZero"/>
        <c:auto val="1"/>
        <c:lblAlgn val="ctr"/>
        <c:lblOffset val="100"/>
        <c:noMultiLvlLbl val="0"/>
      </c:catAx>
      <c:valAx>
        <c:axId val="57124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LINKS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'TEMPLATE (blank)'!$AA$7</c:f>
              <c:strCache>
                <c:ptCount val="1"/>
                <c:pt idx="0">
                  <c:v>Zonder zool</c:v>
                </c:pt>
              </c:strCache>
            </c:strRef>
          </c:tx>
          <c:spPr>
            <a:solidFill>
              <a:srgbClr val="6E7072"/>
            </a:solidFill>
            <a:ln>
              <a:noFill/>
            </a:ln>
            <a:effectLst/>
          </c:spPr>
          <c:invertIfNegative val="0"/>
          <c:cat>
            <c:strRef>
              <c:f>'TEMPLATE (blank)'!$Z$8:$Z$15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(blank)'!$AA$8:$AA$15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627-4014-8EFA-B97B85E1F6A1}"/>
            </c:ext>
          </c:extLst>
        </c:ser>
        <c:ser>
          <c:idx val="1"/>
          <c:order val="1"/>
          <c:tx>
            <c:strRef>
              <c:f>'TEMPLATE (blank)'!$AB$7</c:f>
              <c:strCache>
                <c:ptCount val="1"/>
                <c:pt idx="0">
                  <c:v>Met zool - sessie 1</c:v>
                </c:pt>
              </c:strCache>
            </c:strRef>
          </c:tx>
          <c:spPr>
            <a:solidFill>
              <a:srgbClr val="29A8DF"/>
            </a:solidFill>
            <a:ln>
              <a:noFill/>
            </a:ln>
            <a:effectLst/>
          </c:spPr>
          <c:invertIfNegative val="0"/>
          <c:cat>
            <c:strRef>
              <c:f>'TEMPLATE (blank)'!$Z$8:$Z$15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(blank)'!$AB$8:$AB$15</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A627-4014-8EFA-B97B85E1F6A1}"/>
            </c:ext>
          </c:extLst>
        </c:ser>
        <c:dLbls>
          <c:showLegendKey val="0"/>
          <c:showVal val="0"/>
          <c:showCatName val="0"/>
          <c:showSerName val="0"/>
          <c:showPercent val="0"/>
          <c:showBubbleSize val="0"/>
        </c:dLbls>
        <c:gapWidth val="219"/>
        <c:overlap val="-27"/>
        <c:axId val="795627727"/>
        <c:axId val="571332335"/>
      </c:barChart>
      <c:lineChart>
        <c:grouping val="standard"/>
        <c:varyColors val="0"/>
        <c:ser>
          <c:idx val="2"/>
          <c:order val="2"/>
          <c:tx>
            <c:strRef>
              <c:f>'TEMPLATE (blank)'!$AC$7</c:f>
              <c:strCache>
                <c:ptCount val="1"/>
                <c:pt idx="0">
                  <c:v>Threshold 200 kPa</c:v>
                </c:pt>
              </c:strCache>
            </c:strRef>
          </c:tx>
          <c:spPr>
            <a:ln w="25400" cap="rnd">
              <a:solidFill>
                <a:srgbClr val="E23B4E"/>
              </a:solidFill>
              <a:prstDash val="solid"/>
              <a:round/>
            </a:ln>
            <a:effectLst/>
          </c:spPr>
          <c:marker>
            <c:symbol val="none"/>
          </c:marker>
          <c:cat>
            <c:strRef>
              <c:f>'TEMPLATE (blank)'!$Z$8:$Z$15</c:f>
              <c:strCache>
                <c:ptCount val="8"/>
                <c:pt idx="0">
                  <c:v>I_Links Hallux</c:v>
                </c:pt>
                <c:pt idx="1">
                  <c:v>J_Links Tenen 2-5</c:v>
                </c:pt>
                <c:pt idx="2">
                  <c:v>K_Links Metatarsaal 1</c:v>
                </c:pt>
                <c:pt idx="3">
                  <c:v>L_Links Metatarsaal 2-3</c:v>
                </c:pt>
                <c:pt idx="4">
                  <c:v>M_Links Metatarsaal 4-5</c:v>
                </c:pt>
                <c:pt idx="5">
                  <c:v>N_Links Mediale middenvoet</c:v>
                </c:pt>
                <c:pt idx="6">
                  <c:v>O_Links Laterale middenvoet</c:v>
                </c:pt>
                <c:pt idx="7">
                  <c:v>P_Links Hiel</c:v>
                </c:pt>
              </c:strCache>
            </c:strRef>
          </c:cat>
          <c:val>
            <c:numRef>
              <c:f>'TEMPLATE (blank)'!$AC$8:$AC$15</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A627-4014-8EFA-B97B85E1F6A1}"/>
            </c:ext>
          </c:extLst>
        </c:ser>
        <c:dLbls>
          <c:showLegendKey val="0"/>
          <c:showVal val="0"/>
          <c:showCatName val="0"/>
          <c:showSerName val="0"/>
          <c:showPercent val="0"/>
          <c:showBubbleSize val="0"/>
        </c:dLbls>
        <c:marker val="1"/>
        <c:smooth val="0"/>
        <c:axId val="795627727"/>
        <c:axId val="571332335"/>
      </c:lineChart>
      <c:catAx>
        <c:axId val="7956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332335"/>
        <c:crosses val="autoZero"/>
        <c:auto val="1"/>
        <c:lblAlgn val="ctr"/>
        <c:lblOffset val="100"/>
        <c:noMultiLvlLbl val="0"/>
      </c:catAx>
      <c:valAx>
        <c:axId val="57133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27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r>
              <a:rPr lang="en-US"/>
              <a:t>RECHTS — zonder zool vs. met zool</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A4F9C"/>
              </a:solidFill>
              <a:latin typeface="Aptos Narrow"/>
              <a:ea typeface="Aptos Narrow"/>
              <a:cs typeface="Aptos Narrow"/>
            </a:defRPr>
          </a:pPr>
          <a:endParaRPr lang="nl-BE"/>
        </a:p>
      </c:txPr>
    </c:title>
    <c:autoTitleDeleted val="0"/>
    <c:plotArea>
      <c:layout/>
      <c:barChart>
        <c:barDir val="col"/>
        <c:grouping val="clustered"/>
        <c:varyColors val="0"/>
        <c:ser>
          <c:idx val="0"/>
          <c:order val="0"/>
          <c:tx>
            <c:strRef>
              <c:f>'TEMPLATE (blank)'!$AA$19</c:f>
              <c:strCache>
                <c:ptCount val="1"/>
                <c:pt idx="0">
                  <c:v>Zonder zool</c:v>
                </c:pt>
              </c:strCache>
            </c:strRef>
          </c:tx>
          <c:spPr>
            <a:solidFill>
              <a:srgbClr val="6E7072"/>
            </a:solidFill>
            <a:ln>
              <a:noFill/>
            </a:ln>
            <a:effectLst/>
          </c:spPr>
          <c:invertIfNegative val="0"/>
          <c:cat>
            <c:strRef>
              <c:f>'TEMPLATE (blank)'!$Z$20:$Z$27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(blank)'!$AA$20:$AA$27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90E-4EB5-BEFE-C7AAD3D1CC0C}"/>
            </c:ext>
          </c:extLst>
        </c:ser>
        <c:ser>
          <c:idx val="1"/>
          <c:order val="1"/>
          <c:tx>
            <c:strRef>
              <c:f>'TEMPLATE (blank)'!$AB$19</c:f>
              <c:strCache>
                <c:ptCount val="1"/>
                <c:pt idx="0">
                  <c:v>Met zool - sessie 1</c:v>
                </c:pt>
              </c:strCache>
            </c:strRef>
          </c:tx>
          <c:spPr>
            <a:solidFill>
              <a:srgbClr val="29A8DF"/>
            </a:solidFill>
            <a:ln>
              <a:noFill/>
            </a:ln>
            <a:effectLst/>
          </c:spPr>
          <c:invertIfNegative val="0"/>
          <c:cat>
            <c:strRef>
              <c:f>'TEMPLATE (blank)'!$Z$20:$Z$27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(blank)'!$AB$20:$AB$27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90E-4EB5-BEFE-C7AAD3D1CC0C}"/>
            </c:ext>
          </c:extLst>
        </c:ser>
        <c:dLbls>
          <c:showLegendKey val="0"/>
          <c:showVal val="0"/>
          <c:showCatName val="0"/>
          <c:showSerName val="0"/>
          <c:showPercent val="0"/>
          <c:showBubbleSize val="0"/>
        </c:dLbls>
        <c:gapWidth val="219"/>
        <c:overlap val="-27"/>
        <c:axId val="795637471"/>
        <c:axId val="571248815"/>
      </c:barChart>
      <c:lineChart>
        <c:grouping val="standard"/>
        <c:varyColors val="0"/>
        <c:ser>
          <c:idx val="2"/>
          <c:order val="2"/>
          <c:tx>
            <c:strRef>
              <c:f>'TEMPLATE (blank)'!$AC$19</c:f>
              <c:strCache>
                <c:ptCount val="1"/>
                <c:pt idx="0">
                  <c:v>Threshold 200 kPa</c:v>
                </c:pt>
              </c:strCache>
            </c:strRef>
          </c:tx>
          <c:spPr>
            <a:ln w="25400" cap="rnd">
              <a:solidFill>
                <a:srgbClr val="E23B4E"/>
              </a:solidFill>
              <a:prstDash val="solid"/>
              <a:round/>
            </a:ln>
            <a:effectLst/>
          </c:spPr>
          <c:marker>
            <c:symbol val="none"/>
          </c:marker>
          <c:cat>
            <c:strRef>
              <c:f>'TEMPLATE (blank)'!$Z$20:$Z$27</c:f>
              <c:strCache>
                <c:ptCount val="8"/>
                <c:pt idx="0">
                  <c:v>A_Rechts Hallux</c:v>
                </c:pt>
                <c:pt idx="1">
                  <c:v>B_Rechts Tenen 2-5</c:v>
                </c:pt>
                <c:pt idx="2">
                  <c:v>C_Rechts Metatarsaal 1</c:v>
                </c:pt>
                <c:pt idx="3">
                  <c:v>D_Rechts Metatarsaal 2-3</c:v>
                </c:pt>
                <c:pt idx="4">
                  <c:v>E_Rechts Metatarsaal 4-5</c:v>
                </c:pt>
                <c:pt idx="5">
                  <c:v>F_Rechts Mediale middenvoet</c:v>
                </c:pt>
                <c:pt idx="6">
                  <c:v>G_Rechts Laterale middenvoet</c:v>
                </c:pt>
                <c:pt idx="7">
                  <c:v>H_Rechts Hiel</c:v>
                </c:pt>
              </c:strCache>
            </c:strRef>
          </c:cat>
          <c:val>
            <c:numRef>
              <c:f>'TEMPLATE (blank)'!$AC$20:$AC$27</c:f>
              <c:numCache>
                <c:formatCode>General</c:formatCode>
                <c:ptCount val="8"/>
                <c:pt idx="0">
                  <c:v>200</c:v>
                </c:pt>
                <c:pt idx="1">
                  <c:v>200</c:v>
                </c:pt>
                <c:pt idx="2">
                  <c:v>200</c:v>
                </c:pt>
                <c:pt idx="3">
                  <c:v>200</c:v>
                </c:pt>
                <c:pt idx="4">
                  <c:v>200</c:v>
                </c:pt>
                <c:pt idx="5">
                  <c:v>200</c:v>
                </c:pt>
                <c:pt idx="6">
                  <c:v>200</c:v>
                </c:pt>
                <c:pt idx="7">
                  <c:v>200</c:v>
                </c:pt>
              </c:numCache>
            </c:numRef>
          </c:val>
          <c:smooth val="0"/>
          <c:extLst>
            <c:ext xmlns:c16="http://schemas.microsoft.com/office/drawing/2014/chart" uri="{C3380CC4-5D6E-409C-BE32-E72D297353CC}">
              <c16:uniqueId val="{00000002-190E-4EB5-BEFE-C7AAD3D1CC0C}"/>
            </c:ext>
          </c:extLst>
        </c:ser>
        <c:dLbls>
          <c:showLegendKey val="0"/>
          <c:showVal val="0"/>
          <c:showCatName val="0"/>
          <c:showSerName val="0"/>
          <c:showPercent val="0"/>
          <c:showBubbleSize val="0"/>
        </c:dLbls>
        <c:marker val="1"/>
        <c:smooth val="0"/>
        <c:axId val="795637471"/>
        <c:axId val="571248815"/>
      </c:lineChart>
      <c:catAx>
        <c:axId val="7956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571248815"/>
        <c:crosses val="autoZero"/>
        <c:auto val="1"/>
        <c:lblAlgn val="ctr"/>
        <c:lblOffset val="100"/>
        <c:noMultiLvlLbl val="0"/>
      </c:catAx>
      <c:valAx>
        <c:axId val="57124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r>
                  <a:rPr lang="nl-BE"/>
                  <a:t>Peak pressure (kPa)</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E7072"/>
                  </a:solidFill>
                  <a:latin typeface="Aptos Narrow"/>
                  <a:ea typeface="Aptos Narrow"/>
                  <a:cs typeface="Aptos Narrow"/>
                </a:defRPr>
              </a:pPr>
              <a:endParaRPr lang="nl-B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a:ea typeface="Aptos Narrow"/>
                <a:cs typeface="Aptos Narrow"/>
              </a:defRPr>
            </a:pPr>
            <a:endParaRPr lang="nl-BE"/>
          </a:p>
        </c:txPr>
        <c:crossAx val="79563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Narrow"/>
              <a:ea typeface="Aptos Narrow"/>
              <a:cs typeface="Aptos Narrow"/>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tmp"/><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tmp"/><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1</xdr:row>
      <xdr:rowOff>23159</xdr:rowOff>
    </xdr:from>
    <xdr:to>
      <xdr:col>2</xdr:col>
      <xdr:colOff>193638</xdr:colOff>
      <xdr:row>2</xdr:row>
      <xdr:rowOff>156135</xdr:rowOff>
    </xdr:to>
    <xdr:pic>
      <xdr:nvPicPr>
        <xdr:cNvPr id="2" name="ParadiseLogo">
          <a:extLst>
            <a:ext uri="{FF2B5EF4-FFF2-40B4-BE49-F238E27FC236}">
              <a16:creationId xmlns:a16="http://schemas.microsoft.com/office/drawing/2014/main" id="{DD170DDA-FDB0-9402-8ABC-C9090C5AA145}"/>
            </a:ext>
          </a:extLst>
        </xdr:cNvPr>
        <xdr:cNvPicPr>
          <a:picLocks/>
        </xdr:cNvPicPr>
      </xdr:nvPicPr>
      <xdr:blipFill>
        <a:blip xmlns:r="http://schemas.openxmlformats.org/officeDocument/2006/relationships" r:embed="rId1"/>
        <a:stretch>
          <a:fillRect/>
        </a:stretch>
      </xdr:blipFill>
      <xdr:spPr>
        <a:xfrm>
          <a:off x="63500" y="101600"/>
          <a:ext cx="1430020" cy="558800"/>
        </a:xfrm>
        <a:prstGeom prst="rect">
          <a:avLst/>
        </a:prstGeom>
      </xdr:spPr>
    </xdr:pic>
    <xdr:clientData/>
  </xdr:twoCellAnchor>
  <xdr:twoCellAnchor>
    <xdr:from>
      <xdr:col>29</xdr:col>
      <xdr:colOff>590549</xdr:colOff>
      <xdr:row>4</xdr:row>
      <xdr:rowOff>190499</xdr:rowOff>
    </xdr:from>
    <xdr:to>
      <xdr:col>39</xdr:col>
      <xdr:colOff>590549</xdr:colOff>
      <xdr:row>22</xdr:row>
      <xdr:rowOff>190499</xdr:rowOff>
    </xdr:to>
    <xdr:graphicFrame macro="">
      <xdr:nvGraphicFramePr>
        <xdr:cNvPr id="3" name="Grafiek 2">
          <a:extLst>
            <a:ext uri="{FF2B5EF4-FFF2-40B4-BE49-F238E27FC236}">
              <a16:creationId xmlns:a16="http://schemas.microsoft.com/office/drawing/2014/main" id="{AABDB218-2413-D3BC-164B-5D592168A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590549</xdr:colOff>
      <xdr:row>23</xdr:row>
      <xdr:rowOff>180974</xdr:rowOff>
    </xdr:from>
    <xdr:to>
      <xdr:col>39</xdr:col>
      <xdr:colOff>590549</xdr:colOff>
      <xdr:row>41</xdr:row>
      <xdr:rowOff>190499</xdr:rowOff>
    </xdr:to>
    <xdr:graphicFrame macro="">
      <xdr:nvGraphicFramePr>
        <xdr:cNvPr id="4" name="Grafiek 3">
          <a:extLst>
            <a:ext uri="{FF2B5EF4-FFF2-40B4-BE49-F238E27FC236}">
              <a16:creationId xmlns:a16="http://schemas.microsoft.com/office/drawing/2014/main" id="{3CED6C60-6D40-EC39-A287-2BC122057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20357</xdr:colOff>
      <xdr:row>10</xdr:row>
      <xdr:rowOff>50987</xdr:rowOff>
    </xdr:from>
    <xdr:to>
      <xdr:col>3</xdr:col>
      <xdr:colOff>683932</xdr:colOff>
      <xdr:row>17</xdr:row>
      <xdr:rowOff>70779</xdr:rowOff>
    </xdr:to>
    <xdr:pic>
      <xdr:nvPicPr>
        <xdr:cNvPr id="7" name="Afbeelding 6">
          <a:extLst>
            <a:ext uri="{FF2B5EF4-FFF2-40B4-BE49-F238E27FC236}">
              <a16:creationId xmlns:a16="http://schemas.microsoft.com/office/drawing/2014/main" id="{0BBD5B29-D713-1834-957E-19FB70A00694}"/>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1475" y="2505075"/>
          <a:ext cx="663575" cy="1980821"/>
        </a:xfrm>
        <a:prstGeom prst="rect">
          <a:avLst/>
        </a:prstGeom>
      </xdr:spPr>
    </xdr:pic>
    <xdr:clientData/>
  </xdr:twoCellAnchor>
  <xdr:twoCellAnchor editAs="oneCell">
    <xdr:from>
      <xdr:col>3</xdr:col>
      <xdr:colOff>20357</xdr:colOff>
      <xdr:row>26</xdr:row>
      <xdr:rowOff>29696</xdr:rowOff>
    </xdr:from>
    <xdr:to>
      <xdr:col>3</xdr:col>
      <xdr:colOff>683932</xdr:colOff>
      <xdr:row>33</xdr:row>
      <xdr:rowOff>49487</xdr:rowOff>
    </xdr:to>
    <xdr:pic>
      <xdr:nvPicPr>
        <xdr:cNvPr id="10" name="Afbeelding 9">
          <a:extLst>
            <a:ext uri="{FF2B5EF4-FFF2-40B4-BE49-F238E27FC236}">
              <a16:creationId xmlns:a16="http://schemas.microsoft.com/office/drawing/2014/main" id="{5C6C8193-571E-2CAE-79DA-47E5F59B5A77}"/>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11475" y="6943725"/>
          <a:ext cx="663575" cy="1980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1</xdr:row>
      <xdr:rowOff>23159</xdr:rowOff>
    </xdr:from>
    <xdr:to>
      <xdr:col>2</xdr:col>
      <xdr:colOff>193638</xdr:colOff>
      <xdr:row>2</xdr:row>
      <xdr:rowOff>156135</xdr:rowOff>
    </xdr:to>
    <xdr:pic>
      <xdr:nvPicPr>
        <xdr:cNvPr id="4" name="ParadiseLogo">
          <a:extLst>
            <a:ext uri="{FF2B5EF4-FFF2-40B4-BE49-F238E27FC236}">
              <a16:creationId xmlns:a16="http://schemas.microsoft.com/office/drawing/2014/main" id="{8BAD12FF-98F8-4027-92C3-52B64612C281}"/>
            </a:ext>
          </a:extLst>
        </xdr:cNvPr>
        <xdr:cNvPicPr>
          <a:picLocks/>
        </xdr:cNvPicPr>
      </xdr:nvPicPr>
      <xdr:blipFill>
        <a:blip xmlns:r="http://schemas.openxmlformats.org/officeDocument/2006/relationships" r:embed="rId1"/>
        <a:stretch>
          <a:fillRect/>
        </a:stretch>
      </xdr:blipFill>
      <xdr:spPr>
        <a:xfrm>
          <a:off x="63500" y="99359"/>
          <a:ext cx="1425538" cy="561601"/>
        </a:xfrm>
        <a:prstGeom prst="rect">
          <a:avLst/>
        </a:prstGeom>
      </xdr:spPr>
    </xdr:pic>
    <xdr:clientData/>
  </xdr:twoCellAnchor>
  <xdr:twoCellAnchor>
    <xdr:from>
      <xdr:col>29</xdr:col>
      <xdr:colOff>590549</xdr:colOff>
      <xdr:row>4</xdr:row>
      <xdr:rowOff>190499</xdr:rowOff>
    </xdr:from>
    <xdr:to>
      <xdr:col>39</xdr:col>
      <xdr:colOff>590549</xdr:colOff>
      <xdr:row>22</xdr:row>
      <xdr:rowOff>190499</xdr:rowOff>
    </xdr:to>
    <xdr:graphicFrame macro="">
      <xdr:nvGraphicFramePr>
        <xdr:cNvPr id="5" name="Grafiek 4">
          <a:extLst>
            <a:ext uri="{FF2B5EF4-FFF2-40B4-BE49-F238E27FC236}">
              <a16:creationId xmlns:a16="http://schemas.microsoft.com/office/drawing/2014/main" id="{E0161371-5ACA-480E-8804-5C8D0C2B5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590549</xdr:colOff>
      <xdr:row>23</xdr:row>
      <xdr:rowOff>180974</xdr:rowOff>
    </xdr:from>
    <xdr:to>
      <xdr:col>39</xdr:col>
      <xdr:colOff>590549</xdr:colOff>
      <xdr:row>41</xdr:row>
      <xdr:rowOff>190499</xdr:rowOff>
    </xdr:to>
    <xdr:graphicFrame macro="">
      <xdr:nvGraphicFramePr>
        <xdr:cNvPr id="6" name="Grafiek 5">
          <a:extLst>
            <a:ext uri="{FF2B5EF4-FFF2-40B4-BE49-F238E27FC236}">
              <a16:creationId xmlns:a16="http://schemas.microsoft.com/office/drawing/2014/main" id="{6CF55FCE-A199-4366-93E8-B2BD48BC3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20357</xdr:colOff>
      <xdr:row>10</xdr:row>
      <xdr:rowOff>46504</xdr:rowOff>
    </xdr:from>
    <xdr:to>
      <xdr:col>3</xdr:col>
      <xdr:colOff>683932</xdr:colOff>
      <xdr:row>17</xdr:row>
      <xdr:rowOff>66296</xdr:rowOff>
    </xdr:to>
    <xdr:pic>
      <xdr:nvPicPr>
        <xdr:cNvPr id="8" name="Afbeelding 7">
          <a:extLst>
            <a:ext uri="{FF2B5EF4-FFF2-40B4-BE49-F238E27FC236}">
              <a16:creationId xmlns:a16="http://schemas.microsoft.com/office/drawing/2014/main" id="{36882B88-31A9-C5A4-CC2B-D3FDCF0CBF3E}"/>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911475" y="2657475"/>
          <a:ext cx="663575" cy="1980821"/>
        </a:xfrm>
        <a:prstGeom prst="rect">
          <a:avLst/>
        </a:prstGeom>
      </xdr:spPr>
    </xdr:pic>
    <xdr:clientData/>
  </xdr:twoCellAnchor>
  <xdr:twoCellAnchor editAs="oneCell">
    <xdr:from>
      <xdr:col>3</xdr:col>
      <xdr:colOff>20357</xdr:colOff>
      <xdr:row>26</xdr:row>
      <xdr:rowOff>25213</xdr:rowOff>
    </xdr:from>
    <xdr:to>
      <xdr:col>3</xdr:col>
      <xdr:colOff>683932</xdr:colOff>
      <xdr:row>33</xdr:row>
      <xdr:rowOff>45004</xdr:rowOff>
    </xdr:to>
    <xdr:pic>
      <xdr:nvPicPr>
        <xdr:cNvPr id="10" name="Afbeelding 9">
          <a:extLst>
            <a:ext uri="{FF2B5EF4-FFF2-40B4-BE49-F238E27FC236}">
              <a16:creationId xmlns:a16="http://schemas.microsoft.com/office/drawing/2014/main" id="{682FF66B-8618-9CCB-BEF7-F190A195A888}"/>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11475" y="7096125"/>
          <a:ext cx="663575" cy="1980821"/>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18B1F3-7085-4BF9-B1F9-DEB68973A486}">
  <we:reference id="WA200009404" version="1.0.0.8" store="Omex" storeType="OMEX"/>
  <we:alternateReferences>
    <we:reference id="WA200009404" version="1.0.0.8" store="WA200009404" storeType="OMEX"/>
  </we:alternateReferences>
  <we:properties>
    <we:property name="claude.fileId" value="&quot;3f3ed16a-a604-4be4-beb9-42a8415e78c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213D-9ECD-435C-B0AC-E2163E82B419}">
  <dimension ref="A1:I69"/>
  <sheetViews>
    <sheetView tabSelected="1" workbookViewId="0">
      <selection activeCell="F14" sqref="F14"/>
    </sheetView>
  </sheetViews>
  <sheetFormatPr defaultRowHeight="14.5" x14ac:dyDescent="0.35"/>
  <cols>
    <col min="1" max="1" width="26.7265625" customWidth="1"/>
    <col min="2" max="2" width="22.7265625" customWidth="1"/>
    <col min="3" max="3" width="20.7265625" customWidth="1"/>
    <col min="4" max="4" width="17.7265625" customWidth="1"/>
    <col min="5" max="5" width="15.7265625" customWidth="1"/>
    <col min="6" max="6" width="12.7265625" customWidth="1"/>
    <col min="7" max="7" width="13.7265625" customWidth="1"/>
    <col min="8" max="9" width="18.7265625" customWidth="1"/>
  </cols>
  <sheetData>
    <row r="1" spans="1:9" ht="15.5" x14ac:dyDescent="0.35">
      <c r="A1" s="70" t="s">
        <v>7</v>
      </c>
    </row>
    <row r="2" spans="1:9" ht="18" x14ac:dyDescent="0.4">
      <c r="A2" s="71" t="s">
        <v>20</v>
      </c>
    </row>
    <row r="3" spans="1:9" x14ac:dyDescent="0.35">
      <c r="A3" s="72" t="s">
        <v>21</v>
      </c>
    </row>
    <row r="4" spans="1:9" ht="30" customHeight="1" x14ac:dyDescent="0.35">
      <c r="A4" s="101" t="s">
        <v>106</v>
      </c>
      <c r="B4" s="101"/>
      <c r="C4" s="101"/>
      <c r="D4" s="101"/>
      <c r="E4" s="101"/>
      <c r="F4" s="101"/>
      <c r="G4" s="101"/>
      <c r="H4" s="101"/>
      <c r="I4" s="101"/>
    </row>
    <row r="5" spans="1:9" x14ac:dyDescent="0.35">
      <c r="A5" s="73" t="s">
        <v>22</v>
      </c>
    </row>
    <row r="6" spans="1:9" x14ac:dyDescent="0.35">
      <c r="A6" s="75" t="s">
        <v>23</v>
      </c>
      <c r="B6" s="76"/>
      <c r="D6" s="75" t="s">
        <v>24</v>
      </c>
      <c r="E6" s="76"/>
      <c r="G6" s="75" t="s">
        <v>25</v>
      </c>
      <c r="H6" s="76"/>
    </row>
    <row r="7" spans="1:9" x14ac:dyDescent="0.35">
      <c r="A7" s="75" t="s">
        <v>26</v>
      </c>
      <c r="B7" s="76"/>
      <c r="D7" s="75" t="s">
        <v>27</v>
      </c>
      <c r="E7" s="76"/>
      <c r="G7" s="75" t="s">
        <v>28</v>
      </c>
      <c r="H7" s="76" t="s">
        <v>32</v>
      </c>
    </row>
    <row r="8" spans="1:9" x14ac:dyDescent="0.35">
      <c r="A8" s="75" t="s">
        <v>29</v>
      </c>
      <c r="B8" s="76"/>
      <c r="D8" s="75" t="s">
        <v>30</v>
      </c>
      <c r="E8" s="76"/>
      <c r="G8" s="75" t="s">
        <v>31</v>
      </c>
      <c r="H8" s="76" t="s">
        <v>33</v>
      </c>
    </row>
    <row r="9" spans="1:9" x14ac:dyDescent="0.35">
      <c r="A9" s="72" t="s">
        <v>34</v>
      </c>
    </row>
    <row r="10" spans="1:9" x14ac:dyDescent="0.35">
      <c r="A10" s="72" t="s">
        <v>35</v>
      </c>
    </row>
    <row r="12" spans="1:9" x14ac:dyDescent="0.35">
      <c r="A12" s="73" t="s">
        <v>36</v>
      </c>
    </row>
    <row r="13" spans="1:9" x14ac:dyDescent="0.35">
      <c r="A13" s="75" t="s">
        <v>37</v>
      </c>
      <c r="B13" s="75" t="s">
        <v>38</v>
      </c>
      <c r="D13" s="75" t="s">
        <v>39</v>
      </c>
      <c r="F13" s="75" t="s">
        <v>40</v>
      </c>
    </row>
    <row r="14" spans="1:9" x14ac:dyDescent="0.35">
      <c r="A14" s="75" t="s">
        <v>41</v>
      </c>
      <c r="B14" t="s">
        <v>42</v>
      </c>
      <c r="D14" s="76"/>
      <c r="F14" s="76"/>
    </row>
    <row r="15" spans="1:9" x14ac:dyDescent="0.35">
      <c r="A15" s="75" t="s">
        <v>43</v>
      </c>
      <c r="B15" t="s">
        <v>44</v>
      </c>
      <c r="D15" s="76"/>
      <c r="F15" s="76"/>
    </row>
    <row r="16" spans="1:9" x14ac:dyDescent="0.35">
      <c r="A16" s="72" t="s">
        <v>45</v>
      </c>
    </row>
    <row r="18" spans="1:9" x14ac:dyDescent="0.35">
      <c r="A18" s="73" t="s">
        <v>46</v>
      </c>
    </row>
    <row r="19" spans="1:9" x14ac:dyDescent="0.35">
      <c r="B19" s="77" t="s">
        <v>47</v>
      </c>
      <c r="E19" s="77" t="s">
        <v>48</v>
      </c>
    </row>
    <row r="20" spans="1:9" x14ac:dyDescent="0.35">
      <c r="A20" s="75" t="s">
        <v>49</v>
      </c>
      <c r="B20" s="78" t="s">
        <v>50</v>
      </c>
      <c r="C20" s="78" t="s">
        <v>51</v>
      </c>
      <c r="E20" s="78" t="s">
        <v>50</v>
      </c>
      <c r="F20" s="78" t="s">
        <v>51</v>
      </c>
    </row>
    <row r="21" spans="1:9" x14ac:dyDescent="0.35">
      <c r="A21" s="74" t="s">
        <v>52</v>
      </c>
      <c r="B21" s="76"/>
      <c r="C21" s="76"/>
      <c r="E21" s="76"/>
      <c r="F21" s="76"/>
    </row>
    <row r="22" spans="1:9" x14ac:dyDescent="0.35">
      <c r="A22" s="74" t="s">
        <v>53</v>
      </c>
      <c r="B22" s="76"/>
      <c r="C22" s="76"/>
      <c r="E22" s="76"/>
      <c r="F22" s="76"/>
    </row>
    <row r="23" spans="1:9" x14ac:dyDescent="0.35">
      <c r="A23" s="74" t="s">
        <v>54</v>
      </c>
      <c r="B23" s="76"/>
      <c r="C23" s="76"/>
      <c r="E23" s="76"/>
      <c r="F23" s="76"/>
    </row>
    <row r="24" spans="1:9" x14ac:dyDescent="0.35">
      <c r="A24" s="74" t="s">
        <v>55</v>
      </c>
      <c r="B24" s="76"/>
      <c r="C24" s="76"/>
      <c r="E24" s="76"/>
      <c r="F24" s="76"/>
    </row>
    <row r="26" spans="1:9" x14ac:dyDescent="0.35">
      <c r="A26" s="73" t="s">
        <v>73</v>
      </c>
    </row>
    <row r="27" spans="1:9" x14ac:dyDescent="0.35">
      <c r="A27" s="72" t="s">
        <v>96</v>
      </c>
    </row>
    <row r="28" spans="1:9" ht="39.5" x14ac:dyDescent="0.35">
      <c r="A28" s="81" t="s">
        <v>56</v>
      </c>
      <c r="B28" s="81" t="s">
        <v>57</v>
      </c>
      <c r="C28" s="82"/>
      <c r="D28" s="81" t="s">
        <v>100</v>
      </c>
      <c r="E28" s="81" t="s">
        <v>72</v>
      </c>
      <c r="F28" s="81" t="s">
        <v>101</v>
      </c>
      <c r="G28" s="81" t="s">
        <v>102</v>
      </c>
      <c r="H28" s="81" t="s">
        <v>58</v>
      </c>
      <c r="I28" s="81" t="s">
        <v>103</v>
      </c>
    </row>
    <row r="29" spans="1:9" x14ac:dyDescent="0.35">
      <c r="A29" s="74" t="s">
        <v>59</v>
      </c>
      <c r="B29" s="76"/>
      <c r="D29" s="76"/>
      <c r="E29" s="76"/>
      <c r="F29" s="76"/>
      <c r="G29" s="80" t="str">
        <f>IF(OR(E29="",F29=""),"",(E29-F29)/E29)</f>
        <v/>
      </c>
      <c r="H29" s="12" t="str">
        <f>IF(F29="","",IF(F29&lt;200,"JA",IF(E29="","zonder zool ontbreekt",IF((E29-F29)/E29&gt;=0.25,"JA","NEE"))))</f>
        <v/>
      </c>
      <c r="I29" s="76" t="str">
        <f>IF(OR(D29="",F29=""),"",IF((F29-D29)/D29&gt;=0.05,"JA","nee"))</f>
        <v/>
      </c>
    </row>
    <row r="30" spans="1:9" x14ac:dyDescent="0.35">
      <c r="A30" s="74" t="s">
        <v>60</v>
      </c>
      <c r="B30" s="76"/>
      <c r="D30" s="76"/>
      <c r="E30" s="76"/>
      <c r="F30" s="76"/>
      <c r="G30" s="80" t="str">
        <f>IF(OR(E30="",F30=""),"",(E30-F30)/E30)</f>
        <v/>
      </c>
      <c r="H30" s="12" t="str">
        <f>IF(F30="","",IF(F30&lt;200,"JA",IF(E30="","zonder zool ontbreekt",IF((E30-F30)/E30&gt;=0.25,"JA","NEE"))))</f>
        <v/>
      </c>
      <c r="I30" s="76" t="str">
        <f>IF(OR(D30="",F30=""),"",IF((F30-D30)/D30&gt;=0.05,"JA","nee"))</f>
        <v/>
      </c>
    </row>
    <row r="31" spans="1:9" x14ac:dyDescent="0.35">
      <c r="A31" s="74" t="s">
        <v>61</v>
      </c>
      <c r="B31" s="76"/>
      <c r="D31" s="76"/>
      <c r="E31" s="76"/>
      <c r="F31" s="76"/>
      <c r="G31" s="80" t="str">
        <f>IF(OR(E31="",F31=""),"",(E31-F31)/E31)</f>
        <v/>
      </c>
      <c r="H31" s="12" t="str">
        <f>IF(F31="","",IF(F31&lt;200,"JA",IF(E31="","zonder zool ontbreekt",IF((E31-F31)/E31&gt;=0.25,"JA","NEE"))))</f>
        <v/>
      </c>
      <c r="I31" s="76" t="str">
        <f>IF(OR(D31="",F31=""),"",IF((F31-D31)/D31&gt;=0.05,"JA","nee"))</f>
        <v/>
      </c>
    </row>
    <row r="32" spans="1:9" x14ac:dyDescent="0.35">
      <c r="A32" s="74" t="s">
        <v>62</v>
      </c>
      <c r="B32" s="76"/>
      <c r="D32" s="76"/>
      <c r="E32" s="76"/>
      <c r="F32" s="76"/>
      <c r="G32" s="80" t="str">
        <f>IF(OR(E32="",F32=""),"",(E32-F32)/E32)</f>
        <v/>
      </c>
      <c r="H32" s="12" t="str">
        <f>IF(F32="","",IF(F32&lt;200,"JA",IF(E32="","zonder zool ontbreekt",IF((E32-F32)/E32&gt;=0.25,"JA","NEE"))))</f>
        <v/>
      </c>
      <c r="I32" s="76" t="str">
        <f>IF(OR(D32="",F32=""),"",IF((F32-D32)/D32&gt;=0.05,"JA","nee"))</f>
        <v/>
      </c>
    </row>
    <row r="33" spans="1:9" x14ac:dyDescent="0.35">
      <c r="A33" s="74" t="s">
        <v>63</v>
      </c>
      <c r="B33" s="76"/>
      <c r="D33" s="76"/>
      <c r="E33" s="76"/>
      <c r="F33" s="76"/>
      <c r="G33" s="80" t="str">
        <f>IF(OR(E33="",F33=""),"",(E33-F33)/E33)</f>
        <v/>
      </c>
      <c r="H33" s="12" t="str">
        <f>IF(F33="","",IF(F33&lt;200,"JA",IF(E33="","zonder zool ontbreekt",IF((E33-F33)/E33&gt;=0.25,"JA","NEE"))))</f>
        <v/>
      </c>
      <c r="I33" s="76" t="str">
        <f>IF(OR(D33="",F33=""),"",IF((F33-D33)/D33&gt;=0.05,"JA","nee"))</f>
        <v/>
      </c>
    </row>
    <row r="34" spans="1:9" x14ac:dyDescent="0.35">
      <c r="A34" s="74" t="s">
        <v>64</v>
      </c>
      <c r="B34" s="76"/>
      <c r="D34" s="76"/>
      <c r="E34" s="76"/>
      <c r="F34" s="76"/>
      <c r="G34" s="80" t="str">
        <f>IF(OR(E34="",F34=""),"",(E34-F34)/E34)</f>
        <v/>
      </c>
      <c r="H34" s="12" t="str">
        <f>IF(F34="","",IF(F34&lt;200,"JA",IF(E34="","zonder zool ontbreekt",IF((E34-F34)/E34&gt;=0.25,"JA","NEE"))))</f>
        <v/>
      </c>
      <c r="I34" s="76" t="str">
        <f>IF(OR(D34="",F34=""),"",IF((F34-D34)/D34&gt;=0.05,"JA","nee"))</f>
        <v/>
      </c>
    </row>
    <row r="35" spans="1:9" ht="42" customHeight="1" x14ac:dyDescent="0.35">
      <c r="A35" s="84" t="s">
        <v>104</v>
      </c>
      <c r="B35" s="84"/>
      <c r="C35" s="84"/>
      <c r="D35" s="84"/>
      <c r="E35" s="84"/>
      <c r="F35" s="84"/>
      <c r="G35" s="84"/>
      <c r="H35" s="84"/>
      <c r="I35" s="84"/>
    </row>
    <row r="37" spans="1:9" x14ac:dyDescent="0.35">
      <c r="A37" s="73" t="s">
        <v>65</v>
      </c>
    </row>
    <row r="38" spans="1:9" x14ac:dyDescent="0.35">
      <c r="A38" s="72" t="s">
        <v>95</v>
      </c>
    </row>
    <row r="39" spans="1:9" x14ac:dyDescent="0.35">
      <c r="A39" s="72" t="s">
        <v>66</v>
      </c>
    </row>
    <row r="40" spans="1:9" ht="39.5" x14ac:dyDescent="0.35">
      <c r="A40" s="81" t="s">
        <v>56</v>
      </c>
      <c r="B40" s="81" t="s">
        <v>67</v>
      </c>
      <c r="C40" s="81" t="s">
        <v>68</v>
      </c>
      <c r="D40" s="81" t="s">
        <v>100</v>
      </c>
      <c r="E40" s="81" t="s">
        <v>72</v>
      </c>
      <c r="F40" s="81" t="s">
        <v>101</v>
      </c>
      <c r="G40" s="81" t="s">
        <v>102</v>
      </c>
      <c r="H40" s="81" t="s">
        <v>58</v>
      </c>
      <c r="I40" s="81" t="s">
        <v>103</v>
      </c>
    </row>
    <row r="41" spans="1:9" x14ac:dyDescent="0.35">
      <c r="A41" s="74" t="s">
        <v>59</v>
      </c>
      <c r="B41" s="76"/>
      <c r="C41" s="76"/>
      <c r="D41" s="76"/>
      <c r="E41" s="76"/>
      <c r="F41" s="76"/>
      <c r="G41" s="80" t="str">
        <f>IF(OR(E41="",F41=""),"",(E41-F41)/E41)</f>
        <v/>
      </c>
      <c r="H41" s="12" t="str">
        <f>IF(F41="","",IF(F41&lt;200,"JA",IF(E41="","zonder zool ontbreekt",IF((E41-F41)/E41&gt;=0.25,"JA","NEE"))))</f>
        <v/>
      </c>
      <c r="I41" s="76" t="str">
        <f>IF(OR(D41="",F41=""),"",IF((F41-D41)/D41&gt;=0.05,"JA","nee"))</f>
        <v/>
      </c>
    </row>
    <row r="42" spans="1:9" x14ac:dyDescent="0.35">
      <c r="A42" s="74" t="s">
        <v>60</v>
      </c>
      <c r="B42" s="76"/>
      <c r="C42" s="76"/>
      <c r="D42" s="76"/>
      <c r="E42" s="76"/>
      <c r="F42" s="76"/>
      <c r="G42" s="80" t="str">
        <f>IF(OR(E42="",F42=""),"",(E42-F42)/E42)</f>
        <v/>
      </c>
      <c r="H42" s="12" t="str">
        <f>IF(F42="","",IF(F42&lt;200,"JA",IF(E42="","zonder zool ontbreekt",IF((E42-F42)/E42&gt;=0.25,"JA","NEE"))))</f>
        <v/>
      </c>
      <c r="I42" s="76" t="str">
        <f>IF(OR(D42="",F42=""),"",IF((F42-D42)/D42&gt;=0.05,"JA","nee"))</f>
        <v/>
      </c>
    </row>
    <row r="43" spans="1:9" x14ac:dyDescent="0.35">
      <c r="A43" s="74" t="s">
        <v>61</v>
      </c>
      <c r="B43" s="76"/>
      <c r="C43" s="76"/>
      <c r="D43" s="76"/>
      <c r="E43" s="76"/>
      <c r="F43" s="76"/>
      <c r="G43" s="80" t="str">
        <f>IF(OR(E43="",F43=""),"",(E43-F43)/E43)</f>
        <v/>
      </c>
      <c r="H43" s="12" t="str">
        <f>IF(F43="","",IF(F43&lt;200,"JA",IF(E43="","zonder zool ontbreekt",IF((E43-F43)/E43&gt;=0.25,"JA","NEE"))))</f>
        <v/>
      </c>
      <c r="I43" s="76" t="str">
        <f>IF(OR(D43="",F43=""),"",IF((F43-D43)/D43&gt;=0.05,"JA","nee"))</f>
        <v/>
      </c>
    </row>
    <row r="44" spans="1:9" x14ac:dyDescent="0.35">
      <c r="A44" s="74" t="s">
        <v>62</v>
      </c>
      <c r="B44" s="76"/>
      <c r="C44" s="76"/>
      <c r="D44" s="76"/>
      <c r="E44" s="76"/>
      <c r="F44" s="76"/>
      <c r="G44" s="80" t="str">
        <f>IF(OR(E44="",F44=""),"",(E44-F44)/E44)</f>
        <v/>
      </c>
      <c r="H44" s="12" t="str">
        <f>IF(F44="","",IF(F44&lt;200,"JA",IF(E44="","zonder zool ontbreekt",IF((E44-F44)/E44&gt;=0.25,"JA","NEE"))))</f>
        <v/>
      </c>
      <c r="I44" s="76" t="str">
        <f>IF(OR(D44="",F44=""),"",IF((F44-D44)/D44&gt;=0.05,"JA","nee"))</f>
        <v/>
      </c>
    </row>
    <row r="45" spans="1:9" x14ac:dyDescent="0.35">
      <c r="A45" s="74" t="s">
        <v>63</v>
      </c>
      <c r="B45" s="76"/>
      <c r="C45" s="76"/>
      <c r="D45" s="76"/>
      <c r="E45" s="76"/>
      <c r="F45" s="76"/>
      <c r="G45" s="80" t="str">
        <f>IF(OR(E45="",F45=""),"",(E45-F45)/E45)</f>
        <v/>
      </c>
      <c r="H45" s="12" t="str">
        <f>IF(F45="","",IF(F45&lt;200,"JA",IF(E45="","zonder zool ontbreekt",IF((E45-F45)/E45&gt;=0.25,"JA","NEE"))))</f>
        <v/>
      </c>
      <c r="I45" s="76" t="str">
        <f>IF(OR(D45="",F45=""),"",IF((F45-D45)/D45&gt;=0.05,"JA","nee"))</f>
        <v/>
      </c>
    </row>
    <row r="46" spans="1:9" x14ac:dyDescent="0.35">
      <c r="A46" s="74" t="s">
        <v>64</v>
      </c>
      <c r="B46" s="76"/>
      <c r="C46" s="76"/>
      <c r="D46" s="76"/>
      <c r="E46" s="76"/>
      <c r="F46" s="76"/>
      <c r="G46" s="80" t="str">
        <f>IF(OR(E46="",F46=""),"",(E46-F46)/E46)</f>
        <v/>
      </c>
      <c r="H46" s="12" t="str">
        <f>IF(F46="","",IF(F46&lt;200,"JA",IF(E46="","zonder zool ontbreekt",IF((E46-F46)/E46&gt;=0.25,"JA","NEE"))))</f>
        <v/>
      </c>
      <c r="I46" s="76" t="str">
        <f>IF(OR(D46="",F46=""),"",IF((F46-D46)/D46&gt;=0.05,"JA","nee"))</f>
        <v/>
      </c>
    </row>
    <row r="47" spans="1:9" x14ac:dyDescent="0.35">
      <c r="A47" s="78" t="s">
        <v>105</v>
      </c>
    </row>
    <row r="49" spans="1:8" x14ac:dyDescent="0.35">
      <c r="A49" s="73" t="s">
        <v>69</v>
      </c>
    </row>
    <row r="50" spans="1:8" x14ac:dyDescent="0.35">
      <c r="A50" s="72" t="s">
        <v>70</v>
      </c>
    </row>
    <row r="51" spans="1:8" x14ac:dyDescent="0.35">
      <c r="A51" s="77" t="s">
        <v>50</v>
      </c>
      <c r="E51" s="77" t="s">
        <v>51</v>
      </c>
    </row>
    <row r="52" spans="1:8" x14ac:dyDescent="0.35">
      <c r="A52" s="79"/>
      <c r="B52" s="79"/>
      <c r="C52" s="79"/>
      <c r="D52" s="79"/>
      <c r="E52" s="79"/>
      <c r="F52" s="79"/>
      <c r="G52" s="79"/>
      <c r="H52" s="79"/>
    </row>
    <row r="53" spans="1:8" x14ac:dyDescent="0.35">
      <c r="A53" s="79"/>
      <c r="B53" s="79"/>
      <c r="C53" s="79"/>
      <c r="D53" s="79"/>
      <c r="E53" s="79"/>
      <c r="F53" s="79"/>
      <c r="G53" s="79"/>
      <c r="H53" s="79"/>
    </row>
    <row r="54" spans="1:8" x14ac:dyDescent="0.35">
      <c r="A54" s="79"/>
      <c r="B54" s="79"/>
      <c r="C54" s="79"/>
      <c r="D54" s="79"/>
      <c r="E54" s="79"/>
      <c r="F54" s="79"/>
      <c r="G54" s="79"/>
      <c r="H54" s="79"/>
    </row>
    <row r="55" spans="1:8" x14ac:dyDescent="0.35">
      <c r="A55" s="79"/>
      <c r="B55" s="79"/>
      <c r="C55" s="79"/>
      <c r="D55" s="79"/>
      <c r="E55" s="79"/>
      <c r="F55" s="79"/>
      <c r="G55" s="79"/>
      <c r="H55" s="79"/>
    </row>
    <row r="56" spans="1:8" x14ac:dyDescent="0.35">
      <c r="A56" s="79"/>
      <c r="B56" s="79"/>
      <c r="C56" s="79"/>
      <c r="D56" s="79"/>
      <c r="E56" s="79"/>
      <c r="F56" s="79"/>
      <c r="G56" s="79"/>
      <c r="H56" s="79"/>
    </row>
    <row r="57" spans="1:8" x14ac:dyDescent="0.35">
      <c r="A57" s="79"/>
      <c r="B57" s="79"/>
      <c r="C57" s="79"/>
      <c r="D57" s="79"/>
      <c r="E57" s="79"/>
      <c r="F57" s="79"/>
      <c r="G57" s="79"/>
      <c r="H57" s="79"/>
    </row>
    <row r="58" spans="1:8" x14ac:dyDescent="0.35">
      <c r="A58" s="79"/>
      <c r="B58" s="79"/>
      <c r="C58" s="79"/>
      <c r="D58" s="79"/>
      <c r="E58" s="79"/>
      <c r="F58" s="79"/>
      <c r="G58" s="79"/>
      <c r="H58" s="79"/>
    </row>
    <row r="59" spans="1:8" x14ac:dyDescent="0.35">
      <c r="A59" s="79"/>
      <c r="B59" s="79"/>
      <c r="C59" s="79"/>
      <c r="D59" s="79"/>
      <c r="E59" s="79"/>
      <c r="F59" s="79"/>
      <c r="G59" s="79"/>
      <c r="H59" s="79"/>
    </row>
    <row r="60" spans="1:8" x14ac:dyDescent="0.35">
      <c r="A60" s="79"/>
      <c r="B60" s="79"/>
      <c r="C60" s="79"/>
      <c r="D60" s="79"/>
      <c r="E60" s="79"/>
      <c r="F60" s="79"/>
      <c r="G60" s="79"/>
      <c r="H60" s="79"/>
    </row>
    <row r="61" spans="1:8" x14ac:dyDescent="0.35">
      <c r="A61" s="79"/>
      <c r="B61" s="79"/>
      <c r="C61" s="79"/>
      <c r="D61" s="79"/>
      <c r="E61" s="79"/>
      <c r="F61" s="79"/>
      <c r="G61" s="79"/>
      <c r="H61" s="79"/>
    </row>
    <row r="62" spans="1:8" x14ac:dyDescent="0.35">
      <c r="A62" s="79"/>
      <c r="B62" s="79"/>
      <c r="C62" s="79"/>
      <c r="D62" s="79"/>
      <c r="E62" s="79"/>
      <c r="F62" s="79"/>
      <c r="G62" s="79"/>
      <c r="H62" s="79"/>
    </row>
    <row r="63" spans="1:8" x14ac:dyDescent="0.35">
      <c r="A63" s="79"/>
      <c r="B63" s="79"/>
      <c r="C63" s="79"/>
      <c r="D63" s="79"/>
      <c r="E63" s="79"/>
      <c r="F63" s="79"/>
      <c r="G63" s="79"/>
      <c r="H63" s="79"/>
    </row>
    <row r="64" spans="1:8" x14ac:dyDescent="0.35">
      <c r="A64" s="79"/>
      <c r="B64" s="79"/>
      <c r="C64" s="79"/>
      <c r="D64" s="79"/>
      <c r="E64" s="79"/>
      <c r="F64" s="79"/>
      <c r="G64" s="79"/>
      <c r="H64" s="79"/>
    </row>
    <row r="65" spans="1:8" x14ac:dyDescent="0.35">
      <c r="A65" s="79"/>
      <c r="B65" s="79"/>
      <c r="C65" s="79"/>
      <c r="D65" s="79"/>
      <c r="E65" s="79"/>
      <c r="F65" s="79"/>
      <c r="G65" s="79"/>
      <c r="H65" s="79"/>
    </row>
    <row r="66" spans="1:8" x14ac:dyDescent="0.35">
      <c r="A66" s="79"/>
      <c r="B66" s="79"/>
      <c r="C66" s="79"/>
      <c r="D66" s="79"/>
      <c r="E66" s="79"/>
      <c r="F66" s="79"/>
      <c r="G66" s="79"/>
      <c r="H66" s="79"/>
    </row>
    <row r="67" spans="1:8" x14ac:dyDescent="0.35">
      <c r="A67" s="79"/>
      <c r="B67" s="79"/>
      <c r="C67" s="79"/>
      <c r="D67" s="79"/>
      <c r="E67" s="79"/>
      <c r="F67" s="79"/>
      <c r="G67" s="79"/>
      <c r="H67" s="79"/>
    </row>
    <row r="69" spans="1:8" x14ac:dyDescent="0.35">
      <c r="A69" s="75" t="s">
        <v>71</v>
      </c>
    </row>
  </sheetData>
  <mergeCells count="2">
    <mergeCell ref="A35:I35"/>
    <mergeCell ref="A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264A-6F20-4661-A1D4-50FFC39C3BEF}">
  <sheetPr>
    <tabColor rgb="FF1A4F9C"/>
    <pageSetUpPr fitToPage="1"/>
  </sheetPr>
  <dimension ref="A1:CX85"/>
  <sheetViews>
    <sheetView showGridLines="0" zoomScale="85" zoomScaleNormal="85" workbookViewId="0">
      <pane xSplit="4" topLeftCell="E1" activePane="topRight" state="frozen"/>
      <selection pane="topRight" activeCell="F11" sqref="F11"/>
    </sheetView>
  </sheetViews>
  <sheetFormatPr defaultColWidth="8.81640625" defaultRowHeight="14.5" x14ac:dyDescent="0.35"/>
  <cols>
    <col min="1" max="1" width="13.7265625" customWidth="1"/>
    <col min="2" max="2" width="5.7265625" customWidth="1"/>
    <col min="3" max="3" width="23.81640625" customWidth="1"/>
    <col min="4" max="4" width="10.7265625" customWidth="1"/>
    <col min="5" max="6" width="12.1796875" customWidth="1"/>
    <col min="7" max="7" width="12.1796875" style="4" customWidth="1"/>
    <col min="8" max="8" width="12.1796875" customWidth="1"/>
    <col min="9" max="11" width="12.1796875" style="2" customWidth="1"/>
    <col min="12" max="14" width="12.1796875" customWidth="1"/>
    <col min="15" max="15" width="3" customWidth="1"/>
    <col min="16" max="24" width="12.1796875" customWidth="1"/>
    <col min="25" max="25" width="8.81640625" style="7"/>
    <col min="26" max="26" width="21" style="7" customWidth="1"/>
    <col min="27" max="29" width="13.26953125" style="7" customWidth="1"/>
    <col min="30" max="102" width="8.81640625" style="7"/>
  </cols>
  <sheetData>
    <row r="1" spans="1:102" ht="6" customHeight="1" x14ac:dyDescent="0.35">
      <c r="A1" s="14"/>
      <c r="B1" s="14"/>
      <c r="C1" s="14"/>
      <c r="D1" s="14"/>
      <c r="E1" s="14"/>
      <c r="F1" s="14"/>
      <c r="G1" s="14"/>
      <c r="H1" s="14"/>
      <c r="I1" s="14"/>
      <c r="J1" s="14"/>
      <c r="K1" s="14"/>
      <c r="L1" s="14"/>
      <c r="M1" s="14"/>
      <c r="N1" s="14"/>
      <c r="O1" s="14"/>
      <c r="P1" s="14"/>
      <c r="Q1" s="14"/>
      <c r="R1" s="14"/>
      <c r="S1" s="14"/>
      <c r="T1" s="14"/>
      <c r="U1" s="14"/>
      <c r="V1" s="14"/>
      <c r="W1" s="14"/>
      <c r="X1" s="14"/>
    </row>
    <row r="2" spans="1:102" ht="34" customHeight="1" x14ac:dyDescent="0.7">
      <c r="A2" s="13"/>
      <c r="B2" s="13"/>
      <c r="C2" s="13"/>
      <c r="D2" s="13"/>
      <c r="E2" s="85" t="s">
        <v>7</v>
      </c>
      <c r="F2" s="86"/>
      <c r="G2" s="86"/>
      <c r="H2" s="86"/>
      <c r="I2" s="86"/>
      <c r="J2" s="86"/>
      <c r="K2" s="86"/>
      <c r="L2" s="86"/>
      <c r="O2" s="13"/>
      <c r="P2" s="13"/>
      <c r="Q2" s="13"/>
      <c r="R2" s="13"/>
      <c r="S2" s="13"/>
      <c r="T2" s="13"/>
      <c r="U2" s="13"/>
      <c r="V2" s="13"/>
      <c r="W2" s="13"/>
      <c r="X2" s="13"/>
    </row>
    <row r="3" spans="1:102" ht="18" customHeight="1" x14ac:dyDescent="0.35">
      <c r="A3" s="13"/>
      <c r="B3" s="13"/>
      <c r="C3" s="13"/>
      <c r="D3" s="13"/>
      <c r="E3" s="87" t="s">
        <v>8</v>
      </c>
      <c r="F3" s="86"/>
      <c r="G3" s="86"/>
      <c r="H3" s="86"/>
      <c r="I3" s="86"/>
      <c r="J3" s="86"/>
      <c r="K3" s="86"/>
      <c r="L3" s="86"/>
      <c r="O3" s="13"/>
      <c r="P3" s="13"/>
      <c r="Q3" s="13"/>
      <c r="R3" s="13"/>
      <c r="S3" s="13"/>
      <c r="T3" s="13"/>
      <c r="U3" s="13"/>
      <c r="V3" s="13"/>
      <c r="W3" s="13"/>
      <c r="X3" s="13"/>
    </row>
    <row r="4" spans="1:102" ht="4" customHeight="1" x14ac:dyDescent="0.35">
      <c r="A4" s="14"/>
      <c r="B4" s="14"/>
      <c r="C4" s="14"/>
      <c r="D4" s="14"/>
      <c r="E4" s="14"/>
      <c r="F4" s="14"/>
      <c r="G4" s="14"/>
      <c r="H4" s="14"/>
      <c r="I4" s="14"/>
      <c r="J4" s="14"/>
      <c r="K4" s="14"/>
      <c r="L4" s="14"/>
      <c r="M4" s="14"/>
      <c r="N4" s="14"/>
      <c r="O4" s="14"/>
      <c r="P4" s="14"/>
      <c r="Q4" s="14"/>
      <c r="R4" s="14"/>
      <c r="S4" s="14"/>
      <c r="T4" s="14"/>
      <c r="U4" s="14"/>
      <c r="V4" s="14"/>
      <c r="W4" s="14"/>
      <c r="X4" s="14"/>
      <c r="Z4" s="69" t="s">
        <v>14</v>
      </c>
    </row>
    <row r="5" spans="1:102" x14ac:dyDescent="0.35">
      <c r="Y5" s="5"/>
      <c r="AB5" s="57" t="s">
        <v>13</v>
      </c>
      <c r="AC5" s="56">
        <v>200</v>
      </c>
    </row>
    <row r="6" spans="1:102" ht="16" x14ac:dyDescent="0.35">
      <c r="A6" s="63" t="s">
        <v>3</v>
      </c>
      <c r="B6" s="90"/>
      <c r="C6" s="91"/>
      <c r="D6" s="92"/>
      <c r="E6" s="64"/>
      <c r="F6" s="64"/>
      <c r="G6" s="58" t="s">
        <v>4</v>
      </c>
      <c r="H6" s="65"/>
      <c r="I6" s="49"/>
      <c r="J6" s="49"/>
      <c r="K6" s="49"/>
      <c r="L6" s="66"/>
      <c r="M6" s="66"/>
      <c r="N6" s="66"/>
      <c r="O6" s="66"/>
      <c r="P6" s="66"/>
      <c r="Q6" s="66"/>
      <c r="R6" s="66"/>
      <c r="S6" s="66"/>
      <c r="T6" s="66"/>
      <c r="U6" s="66"/>
      <c r="V6" s="66"/>
      <c r="W6" s="66"/>
      <c r="X6" s="66"/>
      <c r="Y6" s="5"/>
      <c r="Z6" s="68" t="s">
        <v>9</v>
      </c>
      <c r="AA6" s="67"/>
      <c r="AB6" s="67"/>
      <c r="AC6" s="67"/>
    </row>
    <row r="7" spans="1:102" ht="16" x14ac:dyDescent="0.4">
      <c r="A7" s="16"/>
      <c r="E7" s="15"/>
      <c r="F7" s="15"/>
      <c r="G7" s="17"/>
      <c r="H7" s="18"/>
      <c r="Y7" s="5"/>
      <c r="Z7" s="68" t="s">
        <v>10</v>
      </c>
      <c r="AA7" s="68" t="s">
        <v>16</v>
      </c>
      <c r="AB7" s="68" t="s">
        <v>17</v>
      </c>
      <c r="AC7" s="68" t="s">
        <v>11</v>
      </c>
    </row>
    <row r="8" spans="1:102" s="5" customFormat="1" ht="14.5" customHeight="1" x14ac:dyDescent="0.35">
      <c r="A8"/>
      <c r="B8"/>
      <c r="C8"/>
      <c r="D8" s="103" t="s">
        <v>110</v>
      </c>
      <c r="E8" s="104"/>
      <c r="F8" s="104"/>
      <c r="G8" s="104"/>
      <c r="H8" s="104"/>
      <c r="I8" s="104"/>
      <c r="J8" s="104"/>
      <c r="K8" s="104"/>
      <c r="L8" s="104"/>
      <c r="M8" s="104"/>
      <c r="N8" s="104"/>
      <c r="O8"/>
      <c r="P8" s="103" t="s">
        <v>74</v>
      </c>
      <c r="Q8" s="104"/>
      <c r="R8" s="104"/>
      <c r="S8" s="104"/>
      <c r="T8" s="104"/>
      <c r="U8" s="104"/>
      <c r="V8" s="104"/>
      <c r="W8" s="104"/>
      <c r="X8" s="104"/>
      <c r="Z8" s="67" t="str">
        <f t="shared" ref="Z8:Z15" si="0">C11</f>
        <v>I_Links Hallux</v>
      </c>
      <c r="AA8" s="67" t="str">
        <f t="shared" ref="AA8:AA15" si="1">E11</f>
        <v/>
      </c>
      <c r="AB8" s="67" t="str">
        <f t="shared" ref="AB8:AB15" si="2">G11</f>
        <v/>
      </c>
      <c r="AC8" s="67">
        <f t="shared" ref="AC8:AC15" si="3">$AC$5</f>
        <v>200</v>
      </c>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02" s="5" customFormat="1" ht="24" customHeight="1" x14ac:dyDescent="0.35">
      <c r="A9" s="93" t="s">
        <v>0</v>
      </c>
      <c r="B9" s="94"/>
      <c r="C9" s="34"/>
      <c r="D9" s="35"/>
      <c r="E9" s="60" t="s">
        <v>16</v>
      </c>
      <c r="F9" s="61" t="s">
        <v>6</v>
      </c>
      <c r="G9" s="88" t="s">
        <v>17</v>
      </c>
      <c r="H9" s="89"/>
      <c r="I9" s="88" t="s">
        <v>18</v>
      </c>
      <c r="J9" s="89"/>
      <c r="K9" s="88" t="s">
        <v>19</v>
      </c>
      <c r="L9" s="89"/>
      <c r="M9" s="88" t="s">
        <v>107</v>
      </c>
      <c r="N9" s="89"/>
      <c r="O9" s="62"/>
      <c r="P9" s="59" t="s">
        <v>108</v>
      </c>
      <c r="Q9" s="88" t="s">
        <v>17</v>
      </c>
      <c r="R9" s="89"/>
      <c r="S9" s="88" t="s">
        <v>18</v>
      </c>
      <c r="T9" s="89"/>
      <c r="U9" s="88" t="s">
        <v>19</v>
      </c>
      <c r="V9" s="89"/>
      <c r="W9" s="88" t="s">
        <v>107</v>
      </c>
      <c r="X9" s="89"/>
      <c r="Z9" s="67" t="str">
        <f t="shared" si="0"/>
        <v>J_Links Tenen 2-5</v>
      </c>
      <c r="AA9" s="67" t="str">
        <f t="shared" si="1"/>
        <v/>
      </c>
      <c r="AB9" s="67" t="str">
        <f t="shared" si="2"/>
        <v/>
      </c>
      <c r="AC9" s="67">
        <f t="shared" si="3"/>
        <v>200</v>
      </c>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02" s="5" customFormat="1" ht="60" x14ac:dyDescent="0.35">
      <c r="A10" s="95"/>
      <c r="B10" s="96"/>
      <c r="C10" s="34"/>
      <c r="D10" s="35"/>
      <c r="E10" s="36" t="s">
        <v>1</v>
      </c>
      <c r="F10" s="36" t="s">
        <v>93</v>
      </c>
      <c r="G10" s="36" t="s">
        <v>1</v>
      </c>
      <c r="H10" s="36" t="s">
        <v>15</v>
      </c>
      <c r="I10" s="36" t="s">
        <v>1</v>
      </c>
      <c r="J10" s="36" t="s">
        <v>15</v>
      </c>
      <c r="K10" s="36" t="s">
        <v>1</v>
      </c>
      <c r="L10" s="36" t="s">
        <v>15</v>
      </c>
      <c r="M10" s="36" t="s">
        <v>1</v>
      </c>
      <c r="N10" s="36" t="s">
        <v>15</v>
      </c>
      <c r="O10" s="62"/>
      <c r="P10" s="36" t="s">
        <v>1</v>
      </c>
      <c r="Q10" s="36" t="s">
        <v>1</v>
      </c>
      <c r="R10" s="36" t="s">
        <v>109</v>
      </c>
      <c r="S10" s="36" t="s">
        <v>1</v>
      </c>
      <c r="T10" s="36" t="s">
        <v>109</v>
      </c>
      <c r="U10" s="36" t="s">
        <v>1</v>
      </c>
      <c r="V10" s="36" t="s">
        <v>109</v>
      </c>
      <c r="W10" s="36" t="s">
        <v>1</v>
      </c>
      <c r="X10" s="36" t="s">
        <v>109</v>
      </c>
      <c r="Z10" s="67" t="str">
        <f t="shared" si="0"/>
        <v>K_Links Metatarsaal 1</v>
      </c>
      <c r="AA10" s="67" t="str">
        <f t="shared" si="1"/>
        <v/>
      </c>
      <c r="AB10" s="67" t="str">
        <f t="shared" si="2"/>
        <v/>
      </c>
      <c r="AC10" s="67">
        <f t="shared" si="3"/>
        <v>200</v>
      </c>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02" s="5" customFormat="1" ht="22" customHeight="1" x14ac:dyDescent="0.35">
      <c r="A11" s="95"/>
      <c r="B11" s="96"/>
      <c r="C11" s="83" t="s">
        <v>77</v>
      </c>
      <c r="D11" s="37"/>
      <c r="E11" s="38" t="str">
        <f t="shared" ref="E11:E18" si="4">IF(J57="","",J57)</f>
        <v/>
      </c>
      <c r="F11" s="39" t="str">
        <f t="shared" ref="F11:F17" si="5">IF($C$20=C11,"TARGET",IF(E11="","",IF(AND(E11&gt;200,RANK(E11,$E$11:$E$17)&lt;=2),"TARGET","")))</f>
        <v/>
      </c>
      <c r="G11" s="40" t="str">
        <f t="shared" ref="G11:G18" si="6">IF(J78="","",J78)</f>
        <v/>
      </c>
      <c r="H11" s="43" t="str">
        <f t="shared" ref="H11:H18" si="7">IF(OR($E11="",G11=""),"",((G11-$E11)/$E11)*100)</f>
        <v/>
      </c>
      <c r="I11" s="40"/>
      <c r="J11" s="43" t="str">
        <f t="shared" ref="J11:J18" si="8">IF(OR($E11="",I11=""),"",((I11-$E11)/$E11)*100)</f>
        <v/>
      </c>
      <c r="K11" s="40"/>
      <c r="L11" s="43" t="str">
        <f t="shared" ref="L11:L18" si="9">IF(OR($E11="",K11=""),"",((K11-$E11)/$E11)*100)</f>
        <v/>
      </c>
      <c r="M11" s="40"/>
      <c r="N11" s="43" t="str">
        <f t="shared" ref="N11:N18" si="10">IF(OR($E11="",M11=""),"",((M11-$E11)/$E11)*100)</f>
        <v/>
      </c>
      <c r="O11" s="33"/>
      <c r="P11" s="40"/>
      <c r="Q11" s="40"/>
      <c r="R11" s="43" t="str">
        <f t="shared" ref="R11:R18" si="11">IF(OR($P11="",Q11=""),"",((Q11-$P11)/$P11)*100)</f>
        <v/>
      </c>
      <c r="S11" s="40"/>
      <c r="T11" s="43" t="str">
        <f t="shared" ref="T11:T18" si="12">IF(OR($P11="",S11=""),"",((S11-$P11)/$P11)*100)</f>
        <v/>
      </c>
      <c r="U11" s="40"/>
      <c r="V11" s="43" t="str">
        <f t="shared" ref="V11:V18" si="13">IF(OR($P11="",U11=""),"",((U11-$P11)/$P11)*100)</f>
        <v/>
      </c>
      <c r="W11" s="40"/>
      <c r="X11" s="43" t="str">
        <f t="shared" ref="X11:X18" si="14">IF(OR($P11="",W11=""),"",((W11-$P11)/$P11)*100)</f>
        <v/>
      </c>
      <c r="Z11" s="67" t="str">
        <f t="shared" si="0"/>
        <v>L_Links Metatarsaal 2-3</v>
      </c>
      <c r="AA11" s="67" t="str">
        <f t="shared" si="1"/>
        <v/>
      </c>
      <c r="AB11" s="67" t="str">
        <f t="shared" si="2"/>
        <v/>
      </c>
      <c r="AC11" s="67">
        <f t="shared" si="3"/>
        <v>200</v>
      </c>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02" s="5" customFormat="1" ht="22" customHeight="1" x14ac:dyDescent="0.35">
      <c r="A12" s="95"/>
      <c r="B12" s="96"/>
      <c r="C12" s="83" t="s">
        <v>78</v>
      </c>
      <c r="D12" s="37"/>
      <c r="E12" s="38" t="str">
        <f t="shared" si="4"/>
        <v/>
      </c>
      <c r="F12" s="39" t="str">
        <f t="shared" si="5"/>
        <v/>
      </c>
      <c r="G12" s="40" t="str">
        <f t="shared" si="6"/>
        <v/>
      </c>
      <c r="H12" s="43" t="str">
        <f t="shared" si="7"/>
        <v/>
      </c>
      <c r="I12" s="40"/>
      <c r="J12" s="43" t="str">
        <f t="shared" si="8"/>
        <v/>
      </c>
      <c r="K12" s="40"/>
      <c r="L12" s="43" t="str">
        <f t="shared" si="9"/>
        <v/>
      </c>
      <c r="M12" s="40"/>
      <c r="N12" s="43" t="str">
        <f t="shared" si="10"/>
        <v/>
      </c>
      <c r="O12" s="33"/>
      <c r="P12" s="40"/>
      <c r="Q12" s="40"/>
      <c r="R12" s="43" t="str">
        <f t="shared" si="11"/>
        <v/>
      </c>
      <c r="S12" s="40"/>
      <c r="T12" s="43" t="str">
        <f t="shared" si="12"/>
        <v/>
      </c>
      <c r="U12" s="40"/>
      <c r="V12" s="43" t="str">
        <f t="shared" si="13"/>
        <v/>
      </c>
      <c r="W12" s="40"/>
      <c r="X12" s="43" t="str">
        <f t="shared" si="14"/>
        <v/>
      </c>
      <c r="Z12" s="67" t="str">
        <f t="shared" si="0"/>
        <v>M_Links Metatarsaal 4-5</v>
      </c>
      <c r="AA12" s="67" t="str">
        <f t="shared" si="1"/>
        <v/>
      </c>
      <c r="AB12" s="67" t="str">
        <f t="shared" si="2"/>
        <v/>
      </c>
      <c r="AC12" s="67">
        <f t="shared" si="3"/>
        <v>200</v>
      </c>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02" s="5" customFormat="1" ht="22" customHeight="1" x14ac:dyDescent="0.35">
      <c r="A13" s="95"/>
      <c r="B13" s="96"/>
      <c r="C13" s="83" t="s">
        <v>79</v>
      </c>
      <c r="D13" s="37"/>
      <c r="E13" s="38" t="str">
        <f t="shared" si="4"/>
        <v/>
      </c>
      <c r="F13" s="39" t="str">
        <f t="shared" si="5"/>
        <v/>
      </c>
      <c r="G13" s="40" t="str">
        <f t="shared" si="6"/>
        <v/>
      </c>
      <c r="H13" s="43" t="str">
        <f t="shared" si="7"/>
        <v/>
      </c>
      <c r="I13" s="40"/>
      <c r="J13" s="43" t="str">
        <f t="shared" si="8"/>
        <v/>
      </c>
      <c r="K13" s="40"/>
      <c r="L13" s="43" t="str">
        <f t="shared" si="9"/>
        <v/>
      </c>
      <c r="M13" s="40"/>
      <c r="N13" s="43" t="str">
        <f t="shared" si="10"/>
        <v/>
      </c>
      <c r="O13" s="33"/>
      <c r="P13" s="40"/>
      <c r="Q13" s="40"/>
      <c r="R13" s="43" t="str">
        <f t="shared" si="11"/>
        <v/>
      </c>
      <c r="S13" s="40"/>
      <c r="T13" s="43" t="str">
        <f t="shared" si="12"/>
        <v/>
      </c>
      <c r="U13" s="40"/>
      <c r="V13" s="43" t="str">
        <f t="shared" si="13"/>
        <v/>
      </c>
      <c r="W13" s="40"/>
      <c r="X13" s="43" t="str">
        <f t="shared" si="14"/>
        <v/>
      </c>
      <c r="Z13" s="67" t="str">
        <f t="shared" si="0"/>
        <v>N_Links Mediale middenvoet</v>
      </c>
      <c r="AA13" s="67" t="str">
        <f t="shared" si="1"/>
        <v/>
      </c>
      <c r="AB13" s="67" t="str">
        <f t="shared" si="2"/>
        <v/>
      </c>
      <c r="AC13" s="67">
        <f t="shared" si="3"/>
        <v>200</v>
      </c>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02" s="5" customFormat="1" ht="22" customHeight="1" x14ac:dyDescent="0.35">
      <c r="A14" s="95"/>
      <c r="B14" s="96"/>
      <c r="C14" s="83" t="s">
        <v>80</v>
      </c>
      <c r="D14" s="37"/>
      <c r="E14" s="38" t="str">
        <f t="shared" si="4"/>
        <v/>
      </c>
      <c r="F14" s="39" t="str">
        <f t="shared" si="5"/>
        <v/>
      </c>
      <c r="G14" s="40" t="str">
        <f t="shared" si="6"/>
        <v/>
      </c>
      <c r="H14" s="43" t="str">
        <f t="shared" si="7"/>
        <v/>
      </c>
      <c r="I14" s="40"/>
      <c r="J14" s="43" t="str">
        <f t="shared" si="8"/>
        <v/>
      </c>
      <c r="K14" s="40"/>
      <c r="L14" s="43" t="str">
        <f t="shared" si="9"/>
        <v/>
      </c>
      <c r="M14" s="40"/>
      <c r="N14" s="43" t="str">
        <f t="shared" si="10"/>
        <v/>
      </c>
      <c r="O14" s="33"/>
      <c r="P14" s="40"/>
      <c r="Q14" s="40"/>
      <c r="R14" s="43" t="str">
        <f t="shared" si="11"/>
        <v/>
      </c>
      <c r="S14" s="40"/>
      <c r="T14" s="43" t="str">
        <f t="shared" si="12"/>
        <v/>
      </c>
      <c r="U14" s="40"/>
      <c r="V14" s="43" t="str">
        <f t="shared" si="13"/>
        <v/>
      </c>
      <c r="W14" s="40"/>
      <c r="X14" s="43" t="str">
        <f t="shared" si="14"/>
        <v/>
      </c>
      <c r="Z14" s="67" t="str">
        <f t="shared" si="0"/>
        <v>O_Links Laterale middenvoet</v>
      </c>
      <c r="AA14" s="67" t="str">
        <f t="shared" si="1"/>
        <v/>
      </c>
      <c r="AB14" s="67" t="str">
        <f t="shared" si="2"/>
        <v/>
      </c>
      <c r="AC14" s="67">
        <f t="shared" si="3"/>
        <v>200</v>
      </c>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02" s="5" customFormat="1" ht="22" customHeight="1" x14ac:dyDescent="0.35">
      <c r="A15" s="95"/>
      <c r="B15" s="96"/>
      <c r="C15" s="83" t="s">
        <v>81</v>
      </c>
      <c r="D15" s="37"/>
      <c r="E15" s="38" t="str">
        <f t="shared" si="4"/>
        <v/>
      </c>
      <c r="F15" s="39" t="str">
        <f t="shared" si="5"/>
        <v/>
      </c>
      <c r="G15" s="40" t="str">
        <f t="shared" si="6"/>
        <v/>
      </c>
      <c r="H15" s="43" t="str">
        <f t="shared" si="7"/>
        <v/>
      </c>
      <c r="I15" s="40"/>
      <c r="J15" s="43" t="str">
        <f t="shared" si="8"/>
        <v/>
      </c>
      <c r="K15" s="40"/>
      <c r="L15" s="43" t="str">
        <f t="shared" si="9"/>
        <v/>
      </c>
      <c r="M15" s="40"/>
      <c r="N15" s="43" t="str">
        <f t="shared" si="10"/>
        <v/>
      </c>
      <c r="O15" s="33"/>
      <c r="P15" s="40"/>
      <c r="Q15" s="40"/>
      <c r="R15" s="43" t="str">
        <f t="shared" si="11"/>
        <v/>
      </c>
      <c r="S15" s="40"/>
      <c r="T15" s="43" t="str">
        <f t="shared" si="12"/>
        <v/>
      </c>
      <c r="U15" s="40"/>
      <c r="V15" s="43" t="str">
        <f t="shared" si="13"/>
        <v/>
      </c>
      <c r="W15" s="40"/>
      <c r="X15" s="43" t="str">
        <f t="shared" si="14"/>
        <v/>
      </c>
      <c r="Z15" s="67" t="str">
        <f t="shared" si="0"/>
        <v>P_Links Hiel</v>
      </c>
      <c r="AA15" s="67" t="str">
        <f t="shared" si="1"/>
        <v/>
      </c>
      <c r="AB15" s="67" t="str">
        <f t="shared" si="2"/>
        <v/>
      </c>
      <c r="AC15" s="67">
        <f t="shared" si="3"/>
        <v>200</v>
      </c>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02" s="5" customFormat="1" ht="22" customHeight="1" x14ac:dyDescent="0.35">
      <c r="A16" s="95"/>
      <c r="B16" s="96"/>
      <c r="C16" s="83" t="s">
        <v>82</v>
      </c>
      <c r="D16" s="37"/>
      <c r="E16" s="41" t="str">
        <f t="shared" si="4"/>
        <v/>
      </c>
      <c r="F16" s="39" t="str">
        <f t="shared" si="5"/>
        <v/>
      </c>
      <c r="G16" s="40" t="str">
        <f t="shared" si="6"/>
        <v/>
      </c>
      <c r="H16" s="43" t="str">
        <f t="shared" si="7"/>
        <v/>
      </c>
      <c r="I16" s="40"/>
      <c r="J16" s="43" t="str">
        <f t="shared" si="8"/>
        <v/>
      </c>
      <c r="K16" s="40"/>
      <c r="L16" s="43" t="str">
        <f t="shared" si="9"/>
        <v/>
      </c>
      <c r="M16" s="40"/>
      <c r="N16" s="43" t="str">
        <f t="shared" si="10"/>
        <v/>
      </c>
      <c r="O16" s="33"/>
      <c r="P16" s="40"/>
      <c r="Q16" s="40"/>
      <c r="R16" s="43" t="str">
        <f t="shared" si="11"/>
        <v/>
      </c>
      <c r="S16" s="40"/>
      <c r="T16" s="43" t="str">
        <f t="shared" si="12"/>
        <v/>
      </c>
      <c r="U16" s="40"/>
      <c r="V16" s="43" t="str">
        <f t="shared" si="13"/>
        <v/>
      </c>
      <c r="W16" s="40"/>
      <c r="X16" s="43" t="str">
        <f t="shared" si="14"/>
        <v/>
      </c>
      <c r="Z16" s="67"/>
      <c r="AA16" s="67"/>
      <c r="AB16" s="67"/>
      <c r="AC16" s="6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02" s="5" customFormat="1" ht="22" customHeight="1" x14ac:dyDescent="0.35">
      <c r="A17" s="95"/>
      <c r="B17" s="96"/>
      <c r="C17" s="83" t="s">
        <v>83</v>
      </c>
      <c r="D17" s="37"/>
      <c r="E17" s="41" t="str">
        <f t="shared" si="4"/>
        <v/>
      </c>
      <c r="F17" s="39" t="str">
        <f t="shared" si="5"/>
        <v/>
      </c>
      <c r="G17" s="40" t="str">
        <f t="shared" si="6"/>
        <v/>
      </c>
      <c r="H17" s="43" t="str">
        <f t="shared" si="7"/>
        <v/>
      </c>
      <c r="I17" s="40"/>
      <c r="J17" s="43" t="str">
        <f t="shared" si="8"/>
        <v/>
      </c>
      <c r="K17" s="40"/>
      <c r="L17" s="43" t="str">
        <f t="shared" si="9"/>
        <v/>
      </c>
      <c r="M17" s="40"/>
      <c r="N17" s="43" t="str">
        <f t="shared" si="10"/>
        <v/>
      </c>
      <c r="O17" s="33"/>
      <c r="P17" s="40"/>
      <c r="Q17" s="40"/>
      <c r="R17" s="43" t="str">
        <f t="shared" si="11"/>
        <v/>
      </c>
      <c r="S17" s="40"/>
      <c r="T17" s="43" t="str">
        <f t="shared" si="12"/>
        <v/>
      </c>
      <c r="U17" s="40"/>
      <c r="V17" s="43" t="str">
        <f t="shared" si="13"/>
        <v/>
      </c>
      <c r="W17" s="40"/>
      <c r="X17" s="43" t="str">
        <f t="shared" si="14"/>
        <v/>
      </c>
      <c r="Z17" s="67"/>
      <c r="AA17" s="67"/>
      <c r="AB17" s="67"/>
      <c r="AC17" s="6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02" s="5" customFormat="1" ht="22" customHeight="1" x14ac:dyDescent="0.35">
      <c r="A18" s="97"/>
      <c r="B18" s="98"/>
      <c r="C18" s="83" t="s">
        <v>84</v>
      </c>
      <c r="D18" s="37"/>
      <c r="E18" s="41" t="str">
        <f t="shared" si="4"/>
        <v/>
      </c>
      <c r="F18" s="39" t="str">
        <f>IF($C$20=C18,"TARGET","")</f>
        <v/>
      </c>
      <c r="G18" s="40" t="str">
        <f t="shared" si="6"/>
        <v/>
      </c>
      <c r="H18" s="43" t="str">
        <f t="shared" si="7"/>
        <v/>
      </c>
      <c r="I18" s="40"/>
      <c r="J18" s="43" t="str">
        <f t="shared" si="8"/>
        <v/>
      </c>
      <c r="K18" s="40"/>
      <c r="L18" s="43" t="str">
        <f t="shared" si="9"/>
        <v/>
      </c>
      <c r="M18" s="40"/>
      <c r="N18" s="43" t="str">
        <f t="shared" si="10"/>
        <v/>
      </c>
      <c r="O18" s="33"/>
      <c r="P18" s="40"/>
      <c r="Q18" s="40"/>
      <c r="R18" s="43" t="str">
        <f t="shared" si="11"/>
        <v/>
      </c>
      <c r="S18" s="40"/>
      <c r="T18" s="43" t="str">
        <f t="shared" si="12"/>
        <v/>
      </c>
      <c r="U18" s="40"/>
      <c r="V18" s="43" t="str">
        <f t="shared" si="13"/>
        <v/>
      </c>
      <c r="W18" s="40"/>
      <c r="X18" s="43" t="str">
        <f t="shared" si="14"/>
        <v/>
      </c>
      <c r="Z18" s="68" t="s">
        <v>12</v>
      </c>
      <c r="AA18" s="67"/>
      <c r="AB18" s="67"/>
      <c r="AC18" s="6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row>
    <row r="19" spans="1:102" s="6" customFormat="1" x14ac:dyDescent="0.35">
      <c r="A19" s="21"/>
      <c r="B19" s="21"/>
      <c r="C19" s="48"/>
      <c r="D19" s="22"/>
      <c r="E19" s="23"/>
      <c r="F19" s="23"/>
      <c r="G19" s="24"/>
      <c r="H19" s="25"/>
      <c r="I19" s="26"/>
      <c r="J19" s="26"/>
      <c r="K19" s="26"/>
      <c r="L19" s="25"/>
      <c r="M19" s="102"/>
      <c r="N19" s="102"/>
      <c r="O19" s="27"/>
      <c r="P19" s="27"/>
      <c r="Q19" s="27"/>
      <c r="R19" s="27"/>
      <c r="S19" s="27"/>
      <c r="T19" s="27"/>
      <c r="U19" s="27"/>
      <c r="V19" s="42"/>
      <c r="W19" s="102"/>
      <c r="X19" s="102"/>
      <c r="Z19" s="68" t="s">
        <v>10</v>
      </c>
      <c r="AA19" s="68" t="s">
        <v>16</v>
      </c>
      <c r="AB19" s="68" t="s">
        <v>17</v>
      </c>
      <c r="AC19" s="68" t="s">
        <v>11</v>
      </c>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row>
    <row r="20" spans="1:102" s="5" customFormat="1" ht="29.5" customHeight="1" x14ac:dyDescent="0.35">
      <c r="A20" s="99" t="s">
        <v>75</v>
      </c>
      <c r="B20" s="100"/>
      <c r="C20" s="106"/>
      <c r="D20" s="107"/>
      <c r="E20" s="107"/>
      <c r="F20" s="107"/>
      <c r="G20" s="107"/>
      <c r="H20" s="107"/>
      <c r="I20" s="107"/>
      <c r="J20" s="107"/>
      <c r="K20" s="107"/>
      <c r="L20" s="107"/>
      <c r="M20" s="107"/>
      <c r="N20" s="107"/>
      <c r="O20" s="107"/>
      <c r="P20" s="107"/>
      <c r="Q20" s="107"/>
      <c r="R20" s="107"/>
      <c r="S20" s="107"/>
      <c r="T20" s="107"/>
      <c r="U20" s="107"/>
      <c r="V20" s="107"/>
      <c r="W20" s="107"/>
      <c r="X20" s="107"/>
      <c r="Z20" s="67" t="str">
        <f t="shared" ref="Z20:Z27" si="15">C27</f>
        <v>A_Rechts Hallux</v>
      </c>
      <c r="AA20" s="67" t="str">
        <f t="shared" ref="AA20:AA27" si="16">E27</f>
        <v/>
      </c>
      <c r="AB20" s="67" t="str">
        <f t="shared" ref="AB20:AB27" si="17">G27</f>
        <v/>
      </c>
      <c r="AC20" s="67">
        <f t="shared" ref="AC20:AC27" si="18">$AC$5</f>
        <v>200</v>
      </c>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row>
    <row r="21" spans="1:102" s="5" customFormat="1" x14ac:dyDescent="0.35">
      <c r="A21" s="19"/>
      <c r="B21" s="19"/>
      <c r="C21" s="28"/>
      <c r="D21" s="28"/>
      <c r="E21" s="29"/>
      <c r="F21" s="29"/>
      <c r="G21" s="20"/>
      <c r="H21" s="30"/>
      <c r="I21" s="31"/>
      <c r="J21" s="31"/>
      <c r="K21" s="31"/>
      <c r="L21" s="30"/>
      <c r="M21" s="30"/>
      <c r="N21" s="30"/>
      <c r="O21" s="30"/>
      <c r="P21" s="30"/>
      <c r="Q21" s="30"/>
      <c r="R21" s="30"/>
      <c r="S21" s="30"/>
      <c r="T21" s="30"/>
      <c r="U21" s="30"/>
      <c r="V21" s="32"/>
      <c r="W21" s="105"/>
      <c r="X21" s="105"/>
      <c r="Z21" s="67" t="str">
        <f t="shared" si="15"/>
        <v>B_Rechts Tenen 2-5</v>
      </c>
      <c r="AA21" s="67" t="str">
        <f t="shared" si="16"/>
        <v/>
      </c>
      <c r="AB21" s="67" t="str">
        <f t="shared" si="17"/>
        <v/>
      </c>
      <c r="AC21" s="67">
        <f t="shared" si="18"/>
        <v>200</v>
      </c>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row>
    <row r="22" spans="1:102" s="10" customFormat="1" x14ac:dyDescent="0.35">
      <c r="A22"/>
      <c r="B22"/>
      <c r="C22"/>
      <c r="D22"/>
      <c r="E22"/>
      <c r="F22"/>
      <c r="G22" s="4"/>
      <c r="H22"/>
      <c r="I22" s="2"/>
      <c r="J22" s="2"/>
      <c r="K22" s="2"/>
      <c r="L22"/>
      <c r="M22"/>
      <c r="N22"/>
      <c r="O22"/>
      <c r="P22"/>
      <c r="Q22"/>
      <c r="R22"/>
      <c r="S22"/>
      <c r="T22"/>
      <c r="U22"/>
      <c r="V22"/>
      <c r="W22"/>
      <c r="X22"/>
      <c r="Z22" s="67" t="str">
        <f t="shared" si="15"/>
        <v>C_Rechts Metatarsaal 1</v>
      </c>
      <c r="AA22" s="67" t="str">
        <f t="shared" si="16"/>
        <v/>
      </c>
      <c r="AB22" s="67" t="str">
        <f t="shared" si="17"/>
        <v/>
      </c>
      <c r="AC22" s="67">
        <f t="shared" si="18"/>
        <v>200</v>
      </c>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row>
    <row r="23" spans="1:102" s="10" customFormat="1" x14ac:dyDescent="0.35">
      <c r="A23"/>
      <c r="B23"/>
      <c r="C23"/>
      <c r="D23"/>
      <c r="E23"/>
      <c r="F23"/>
      <c r="G23" s="4"/>
      <c r="H23"/>
      <c r="I23" s="2"/>
      <c r="J23" s="2"/>
      <c r="K23" s="2"/>
      <c r="L23"/>
      <c r="M23"/>
      <c r="N23"/>
      <c r="O23"/>
      <c r="P23"/>
      <c r="Q23"/>
      <c r="R23"/>
      <c r="S23"/>
      <c r="T23"/>
      <c r="U23"/>
      <c r="V23"/>
      <c r="W23"/>
      <c r="X23"/>
      <c r="Z23" s="67" t="str">
        <f t="shared" si="15"/>
        <v>D_Rechts Metatarsaal 2-3</v>
      </c>
      <c r="AA23" s="67" t="str">
        <f t="shared" si="16"/>
        <v/>
      </c>
      <c r="AB23" s="67" t="str">
        <f t="shared" si="17"/>
        <v/>
      </c>
      <c r="AC23" s="67">
        <f t="shared" si="18"/>
        <v>200</v>
      </c>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row>
    <row r="24" spans="1:102" s="5" customFormat="1" ht="14.5" customHeight="1" x14ac:dyDescent="0.35">
      <c r="A24"/>
      <c r="B24"/>
      <c r="C24"/>
      <c r="D24" s="103" t="s">
        <v>110</v>
      </c>
      <c r="E24" s="104"/>
      <c r="F24" s="104"/>
      <c r="G24" s="104"/>
      <c r="H24" s="104"/>
      <c r="I24" s="104"/>
      <c r="J24" s="104"/>
      <c r="K24" s="104"/>
      <c r="L24" s="104"/>
      <c r="M24" s="104"/>
      <c r="N24" s="104"/>
      <c r="O24"/>
      <c r="P24" s="103" t="s">
        <v>74</v>
      </c>
      <c r="Q24" s="104"/>
      <c r="R24" s="104"/>
      <c r="S24" s="104"/>
      <c r="T24" s="104"/>
      <c r="U24" s="104"/>
      <c r="V24" s="104"/>
      <c r="W24" s="104"/>
      <c r="X24" s="104"/>
      <c r="Z24" s="67" t="str">
        <f t="shared" si="15"/>
        <v>E_Rechts Metatarsaal 4-5</v>
      </c>
      <c r="AA24" s="67" t="str">
        <f t="shared" si="16"/>
        <v/>
      </c>
      <c r="AB24" s="67" t="str">
        <f t="shared" si="17"/>
        <v/>
      </c>
      <c r="AC24" s="67">
        <f t="shared" si="18"/>
        <v>200</v>
      </c>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row>
    <row r="25" spans="1:102" s="5" customFormat="1" ht="24" customHeight="1" x14ac:dyDescent="0.35">
      <c r="A25" s="93" t="s">
        <v>2</v>
      </c>
      <c r="B25" s="94"/>
      <c r="C25" s="34"/>
      <c r="D25" s="35"/>
      <c r="E25" s="60" t="s">
        <v>16</v>
      </c>
      <c r="F25" s="61" t="s">
        <v>6</v>
      </c>
      <c r="G25" s="88" t="s">
        <v>17</v>
      </c>
      <c r="H25" s="89"/>
      <c r="I25" s="88" t="s">
        <v>18</v>
      </c>
      <c r="J25" s="89"/>
      <c r="K25" s="88" t="s">
        <v>19</v>
      </c>
      <c r="L25" s="89"/>
      <c r="M25" s="88" t="s">
        <v>107</v>
      </c>
      <c r="N25" s="89"/>
      <c r="O25" s="62"/>
      <c r="P25" s="59" t="s">
        <v>108</v>
      </c>
      <c r="Q25" s="88" t="s">
        <v>17</v>
      </c>
      <c r="R25" s="89"/>
      <c r="S25" s="88" t="s">
        <v>18</v>
      </c>
      <c r="T25" s="89"/>
      <c r="U25" s="88" t="s">
        <v>19</v>
      </c>
      <c r="V25" s="89"/>
      <c r="W25" s="88" t="s">
        <v>107</v>
      </c>
      <c r="X25" s="89"/>
      <c r="Z25" s="67" t="str">
        <f t="shared" si="15"/>
        <v>F_Rechts Mediale middenvoet</v>
      </c>
      <c r="AA25" s="67" t="str">
        <f t="shared" si="16"/>
        <v/>
      </c>
      <c r="AB25" s="67" t="str">
        <f t="shared" si="17"/>
        <v/>
      </c>
      <c r="AC25" s="67">
        <f t="shared" si="18"/>
        <v>200</v>
      </c>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row>
    <row r="26" spans="1:102" s="5" customFormat="1" ht="48" customHeight="1" x14ac:dyDescent="0.35">
      <c r="A26" s="95"/>
      <c r="B26" s="96"/>
      <c r="C26" s="34"/>
      <c r="D26" s="35"/>
      <c r="E26" s="36" t="s">
        <v>1</v>
      </c>
      <c r="F26" s="36" t="s">
        <v>93</v>
      </c>
      <c r="G26" s="36" t="s">
        <v>1</v>
      </c>
      <c r="H26" s="36" t="s">
        <v>15</v>
      </c>
      <c r="I26" s="36" t="s">
        <v>1</v>
      </c>
      <c r="J26" s="36" t="s">
        <v>15</v>
      </c>
      <c r="K26" s="36" t="s">
        <v>1</v>
      </c>
      <c r="L26" s="36" t="s">
        <v>15</v>
      </c>
      <c r="M26" s="36" t="s">
        <v>1</v>
      </c>
      <c r="N26" s="36" t="s">
        <v>15</v>
      </c>
      <c r="O26" s="62"/>
      <c r="P26" s="36" t="s">
        <v>1</v>
      </c>
      <c r="Q26" s="36" t="s">
        <v>1</v>
      </c>
      <c r="R26" s="36" t="s">
        <v>109</v>
      </c>
      <c r="S26" s="36" t="s">
        <v>1</v>
      </c>
      <c r="T26" s="36" t="s">
        <v>109</v>
      </c>
      <c r="U26" s="36" t="s">
        <v>1</v>
      </c>
      <c r="V26" s="36" t="s">
        <v>109</v>
      </c>
      <c r="W26" s="36" t="s">
        <v>1</v>
      </c>
      <c r="X26" s="36" t="s">
        <v>109</v>
      </c>
      <c r="Z26" s="7" t="str">
        <f t="shared" si="15"/>
        <v>G_Rechts Laterale middenvoet</v>
      </c>
      <c r="AA26" s="7" t="str">
        <f t="shared" si="16"/>
        <v/>
      </c>
      <c r="AB26" s="7" t="str">
        <f t="shared" si="17"/>
        <v/>
      </c>
      <c r="AC26" s="7">
        <f t="shared" si="18"/>
        <v>200</v>
      </c>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row>
    <row r="27" spans="1:102" s="5" customFormat="1" ht="22" customHeight="1" x14ac:dyDescent="0.35">
      <c r="A27" s="95"/>
      <c r="B27" s="96"/>
      <c r="C27" s="83" t="s">
        <v>85</v>
      </c>
      <c r="D27" s="37"/>
      <c r="E27" s="38" t="str">
        <f t="shared" ref="E27:E34" si="19">IF(J47="","",J47)</f>
        <v/>
      </c>
      <c r="F27" s="39" t="str">
        <f t="shared" ref="F27:F33" si="20">IF($C$36=C27,"TARGET",IF(E27="","",IF(AND(E27&gt;200,RANK(E27,$E$27:$E$33)&lt;=2),"TARGET","")))</f>
        <v/>
      </c>
      <c r="G27" s="40" t="str">
        <f t="shared" ref="G27:G34" si="21">IF(J68="","",J68)</f>
        <v/>
      </c>
      <c r="H27" s="43" t="str">
        <f t="shared" ref="H27:H34" si="22">IF(OR($E27="",G27=""),"",((G27-$E27)/$E27)*100)</f>
        <v/>
      </c>
      <c r="I27" s="40"/>
      <c r="J27" s="43" t="str">
        <f t="shared" ref="J27:J34" si="23">IF(OR($E27="",I27=""),"",((I27-$E27)/$E27)*100)</f>
        <v/>
      </c>
      <c r="K27" s="40"/>
      <c r="L27" s="43" t="str">
        <f t="shared" ref="L27:L34" si="24">IF(OR($E27="",K27=""),"",((K27-$E27)/$E27)*100)</f>
        <v/>
      </c>
      <c r="M27" s="40"/>
      <c r="N27" s="43" t="str">
        <f t="shared" ref="N27:N34" si="25">IF(OR($E27="",M27=""),"",((M27-$E27)/$E27)*100)</f>
        <v/>
      </c>
      <c r="O27" s="33"/>
      <c r="P27" s="40"/>
      <c r="Q27" s="40"/>
      <c r="R27" s="43" t="str">
        <f t="shared" ref="R27:R34" si="26">IF(OR($P27="",Q27=""),"",((Q27-$P27)/$P27)*100)</f>
        <v/>
      </c>
      <c r="S27" s="40"/>
      <c r="T27" s="43" t="str">
        <f t="shared" ref="T27:T34" si="27">IF(OR($P27="",S27=""),"",((S27-$P27)/$P27)*100)</f>
        <v/>
      </c>
      <c r="U27" s="40"/>
      <c r="V27" s="43" t="str">
        <f t="shared" ref="V27:V34" si="28">IF(OR($P27="",U27=""),"",((U27-$P27)/$P27)*100)</f>
        <v/>
      </c>
      <c r="W27" s="40"/>
      <c r="X27" s="43" t="str">
        <f t="shared" ref="X27:X34" si="29">IF(OR($P27="",W27=""),"",((W27-$P27)/$P27)*100)</f>
        <v/>
      </c>
      <c r="Z27" s="7" t="str">
        <f t="shared" si="15"/>
        <v>H_Rechts Hiel</v>
      </c>
      <c r="AA27" s="7" t="str">
        <f t="shared" si="16"/>
        <v/>
      </c>
      <c r="AB27" s="7" t="str">
        <f t="shared" si="17"/>
        <v/>
      </c>
      <c r="AC27" s="7">
        <f t="shared" si="18"/>
        <v>200</v>
      </c>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row>
    <row r="28" spans="1:102" s="5" customFormat="1" ht="22" customHeight="1" x14ac:dyDescent="0.35">
      <c r="A28" s="95"/>
      <c r="B28" s="96"/>
      <c r="C28" s="83" t="s">
        <v>86</v>
      </c>
      <c r="D28" s="37"/>
      <c r="E28" s="38" t="str">
        <f t="shared" si="19"/>
        <v/>
      </c>
      <c r="F28" s="39" t="str">
        <f t="shared" si="20"/>
        <v/>
      </c>
      <c r="G28" s="40" t="str">
        <f t="shared" si="21"/>
        <v/>
      </c>
      <c r="H28" s="43" t="str">
        <f t="shared" si="22"/>
        <v/>
      </c>
      <c r="I28" s="40"/>
      <c r="J28" s="43" t="str">
        <f t="shared" si="23"/>
        <v/>
      </c>
      <c r="K28" s="40"/>
      <c r="L28" s="43" t="str">
        <f t="shared" si="24"/>
        <v/>
      </c>
      <c r="M28" s="40"/>
      <c r="N28" s="43" t="str">
        <f t="shared" si="25"/>
        <v/>
      </c>
      <c r="O28" s="33"/>
      <c r="P28" s="40"/>
      <c r="Q28" s="40"/>
      <c r="R28" s="43" t="str">
        <f t="shared" si="26"/>
        <v/>
      </c>
      <c r="S28" s="40"/>
      <c r="T28" s="43" t="str">
        <f t="shared" si="27"/>
        <v/>
      </c>
      <c r="U28" s="40"/>
      <c r="V28" s="43" t="str">
        <f t="shared" si="28"/>
        <v/>
      </c>
      <c r="W28" s="40"/>
      <c r="X28" s="43" t="str">
        <f t="shared" si="29"/>
        <v/>
      </c>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row>
    <row r="29" spans="1:102" s="5" customFormat="1" ht="22" customHeight="1" x14ac:dyDescent="0.35">
      <c r="A29" s="95"/>
      <c r="B29" s="96"/>
      <c r="C29" s="83" t="s">
        <v>87</v>
      </c>
      <c r="D29" s="37"/>
      <c r="E29" s="38" t="str">
        <f t="shared" si="19"/>
        <v/>
      </c>
      <c r="F29" s="39" t="str">
        <f t="shared" si="20"/>
        <v/>
      </c>
      <c r="G29" s="40" t="str">
        <f t="shared" si="21"/>
        <v/>
      </c>
      <c r="H29" s="43" t="str">
        <f t="shared" si="22"/>
        <v/>
      </c>
      <c r="I29" s="40"/>
      <c r="J29" s="43" t="str">
        <f t="shared" si="23"/>
        <v/>
      </c>
      <c r="K29" s="40"/>
      <c r="L29" s="43" t="str">
        <f t="shared" si="24"/>
        <v/>
      </c>
      <c r="M29" s="40"/>
      <c r="N29" s="43" t="str">
        <f t="shared" si="25"/>
        <v/>
      </c>
      <c r="O29" s="33"/>
      <c r="P29" s="40"/>
      <c r="Q29" s="40"/>
      <c r="R29" s="43" t="str">
        <f t="shared" si="26"/>
        <v/>
      </c>
      <c r="S29" s="40"/>
      <c r="T29" s="43" t="str">
        <f t="shared" si="27"/>
        <v/>
      </c>
      <c r="U29" s="40"/>
      <c r="V29" s="43" t="str">
        <f t="shared" si="28"/>
        <v/>
      </c>
      <c r="W29" s="40"/>
      <c r="X29" s="43" t="str">
        <f t="shared" si="29"/>
        <v/>
      </c>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row>
    <row r="30" spans="1:102" s="5" customFormat="1" ht="22" customHeight="1" x14ac:dyDescent="0.35">
      <c r="A30" s="95"/>
      <c r="B30" s="96"/>
      <c r="C30" s="83" t="s">
        <v>88</v>
      </c>
      <c r="D30" s="37"/>
      <c r="E30" s="38" t="str">
        <f t="shared" si="19"/>
        <v/>
      </c>
      <c r="F30" s="39" t="str">
        <f t="shared" si="20"/>
        <v/>
      </c>
      <c r="G30" s="40" t="str">
        <f t="shared" si="21"/>
        <v/>
      </c>
      <c r="H30" s="43" t="str">
        <f t="shared" si="22"/>
        <v/>
      </c>
      <c r="I30" s="40"/>
      <c r="J30" s="43" t="str">
        <f t="shared" si="23"/>
        <v/>
      </c>
      <c r="K30" s="40"/>
      <c r="L30" s="43" t="str">
        <f t="shared" si="24"/>
        <v/>
      </c>
      <c r="M30" s="40"/>
      <c r="N30" s="43" t="str">
        <f t="shared" si="25"/>
        <v/>
      </c>
      <c r="O30" s="33"/>
      <c r="P30" s="40"/>
      <c r="Q30" s="40"/>
      <c r="R30" s="43" t="str">
        <f t="shared" si="26"/>
        <v/>
      </c>
      <c r="S30" s="40"/>
      <c r="T30" s="43" t="str">
        <f t="shared" si="27"/>
        <v/>
      </c>
      <c r="U30" s="40"/>
      <c r="V30" s="43" t="str">
        <f t="shared" si="28"/>
        <v/>
      </c>
      <c r="W30" s="40"/>
      <c r="X30" s="43" t="str">
        <f t="shared" si="29"/>
        <v/>
      </c>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row>
    <row r="31" spans="1:102" s="5" customFormat="1" ht="22" customHeight="1" x14ac:dyDescent="0.35">
      <c r="A31" s="95"/>
      <c r="B31" s="96"/>
      <c r="C31" s="83" t="s">
        <v>89</v>
      </c>
      <c r="D31" s="37"/>
      <c r="E31" s="38" t="str">
        <f t="shared" si="19"/>
        <v/>
      </c>
      <c r="F31" s="39" t="str">
        <f t="shared" si="20"/>
        <v/>
      </c>
      <c r="G31" s="40" t="str">
        <f t="shared" si="21"/>
        <v/>
      </c>
      <c r="H31" s="43" t="str">
        <f t="shared" si="22"/>
        <v/>
      </c>
      <c r="I31" s="40"/>
      <c r="J31" s="43" t="str">
        <f t="shared" si="23"/>
        <v/>
      </c>
      <c r="K31" s="40"/>
      <c r="L31" s="43" t="str">
        <f t="shared" si="24"/>
        <v/>
      </c>
      <c r="M31" s="40"/>
      <c r="N31" s="43" t="str">
        <f t="shared" si="25"/>
        <v/>
      </c>
      <c r="O31" s="33"/>
      <c r="P31" s="40"/>
      <c r="Q31" s="40"/>
      <c r="R31" s="43" t="str">
        <f t="shared" si="26"/>
        <v/>
      </c>
      <c r="S31" s="40"/>
      <c r="T31" s="43" t="str">
        <f t="shared" si="27"/>
        <v/>
      </c>
      <c r="U31" s="40"/>
      <c r="V31" s="43" t="str">
        <f t="shared" si="28"/>
        <v/>
      </c>
      <c r="W31" s="40"/>
      <c r="X31" s="43" t="str">
        <f t="shared" si="29"/>
        <v/>
      </c>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row>
    <row r="32" spans="1:102" s="5" customFormat="1" ht="22" customHeight="1" x14ac:dyDescent="0.35">
      <c r="A32" s="95"/>
      <c r="B32" s="96"/>
      <c r="C32" s="83" t="s">
        <v>90</v>
      </c>
      <c r="D32" s="37"/>
      <c r="E32" s="41" t="str">
        <f t="shared" si="19"/>
        <v/>
      </c>
      <c r="F32" s="39" t="str">
        <f t="shared" si="20"/>
        <v/>
      </c>
      <c r="G32" s="40" t="str">
        <f t="shared" si="21"/>
        <v/>
      </c>
      <c r="H32" s="43" t="str">
        <f t="shared" si="22"/>
        <v/>
      </c>
      <c r="I32" s="40"/>
      <c r="J32" s="43" t="str">
        <f t="shared" si="23"/>
        <v/>
      </c>
      <c r="K32" s="40"/>
      <c r="L32" s="43" t="str">
        <f t="shared" si="24"/>
        <v/>
      </c>
      <c r="M32" s="40"/>
      <c r="N32" s="43" t="str">
        <f t="shared" si="25"/>
        <v/>
      </c>
      <c r="O32" s="33"/>
      <c r="P32" s="40"/>
      <c r="Q32" s="40"/>
      <c r="R32" s="43" t="str">
        <f t="shared" si="26"/>
        <v/>
      </c>
      <c r="S32" s="40"/>
      <c r="T32" s="43" t="str">
        <f t="shared" si="27"/>
        <v/>
      </c>
      <c r="U32" s="40"/>
      <c r="V32" s="43" t="str">
        <f t="shared" si="28"/>
        <v/>
      </c>
      <c r="W32" s="40"/>
      <c r="X32" s="43" t="str">
        <f t="shared" si="29"/>
        <v/>
      </c>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row>
    <row r="33" spans="1:102" s="5" customFormat="1" ht="22" customHeight="1" x14ac:dyDescent="0.35">
      <c r="A33" s="95"/>
      <c r="B33" s="96"/>
      <c r="C33" s="83" t="s">
        <v>91</v>
      </c>
      <c r="D33" s="37"/>
      <c r="E33" s="41" t="str">
        <f t="shared" si="19"/>
        <v/>
      </c>
      <c r="F33" s="39" t="str">
        <f t="shared" si="20"/>
        <v/>
      </c>
      <c r="G33" s="40" t="str">
        <f t="shared" si="21"/>
        <v/>
      </c>
      <c r="H33" s="43" t="str">
        <f t="shared" si="22"/>
        <v/>
      </c>
      <c r="I33" s="40"/>
      <c r="J33" s="43" t="str">
        <f t="shared" si="23"/>
        <v/>
      </c>
      <c r="K33" s="40"/>
      <c r="L33" s="43" t="str">
        <f t="shared" si="24"/>
        <v/>
      </c>
      <c r="M33" s="40"/>
      <c r="N33" s="43" t="str">
        <f t="shared" si="25"/>
        <v/>
      </c>
      <c r="O33" s="33"/>
      <c r="P33" s="40"/>
      <c r="Q33" s="40"/>
      <c r="R33" s="43" t="str">
        <f t="shared" si="26"/>
        <v/>
      </c>
      <c r="S33" s="40"/>
      <c r="T33" s="43" t="str">
        <f t="shared" si="27"/>
        <v/>
      </c>
      <c r="U33" s="40"/>
      <c r="V33" s="43" t="str">
        <f t="shared" si="28"/>
        <v/>
      </c>
      <c r="W33" s="40"/>
      <c r="X33" s="43" t="str">
        <f t="shared" si="29"/>
        <v/>
      </c>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row>
    <row r="34" spans="1:102" s="5" customFormat="1" ht="22" customHeight="1" x14ac:dyDescent="0.35">
      <c r="A34" s="97"/>
      <c r="B34" s="98"/>
      <c r="C34" s="83" t="s">
        <v>92</v>
      </c>
      <c r="D34" s="37"/>
      <c r="E34" s="41" t="str">
        <f t="shared" si="19"/>
        <v/>
      </c>
      <c r="F34" s="39" t="str">
        <f>IF($C$36=C34,"TARGET","")</f>
        <v/>
      </c>
      <c r="G34" s="40" t="str">
        <f t="shared" si="21"/>
        <v/>
      </c>
      <c r="H34" s="43" t="str">
        <f t="shared" si="22"/>
        <v/>
      </c>
      <c r="I34" s="40"/>
      <c r="J34" s="43" t="str">
        <f t="shared" si="23"/>
        <v/>
      </c>
      <c r="K34" s="40"/>
      <c r="L34" s="43" t="str">
        <f t="shared" si="24"/>
        <v/>
      </c>
      <c r="M34" s="40"/>
      <c r="N34" s="43" t="str">
        <f t="shared" si="25"/>
        <v/>
      </c>
      <c r="O34" s="33"/>
      <c r="P34" s="40"/>
      <c r="Q34" s="40"/>
      <c r="R34" s="43" t="str">
        <f t="shared" si="26"/>
        <v/>
      </c>
      <c r="S34" s="40"/>
      <c r="T34" s="43" t="str">
        <f t="shared" si="27"/>
        <v/>
      </c>
      <c r="U34" s="40"/>
      <c r="V34" s="43" t="str">
        <f t="shared" si="28"/>
        <v/>
      </c>
      <c r="W34" s="40"/>
      <c r="X34" s="43" t="str">
        <f t="shared" si="29"/>
        <v/>
      </c>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row>
    <row r="35" spans="1:102" s="6" customFormat="1" x14ac:dyDescent="0.35">
      <c r="A35" s="21"/>
      <c r="B35" s="21"/>
      <c r="C35" s="48"/>
      <c r="D35" s="22"/>
      <c r="E35" s="23"/>
      <c r="F35" s="23"/>
      <c r="G35" s="24"/>
      <c r="H35" s="25"/>
      <c r="I35" s="26"/>
      <c r="J35" s="26"/>
      <c r="K35" s="26"/>
      <c r="L35" s="25"/>
      <c r="M35" s="102"/>
      <c r="N35" s="102"/>
      <c r="O35" s="27"/>
      <c r="P35" s="27"/>
      <c r="Q35" s="27"/>
      <c r="R35" s="27"/>
      <c r="S35" s="27"/>
      <c r="T35" s="27"/>
      <c r="U35" s="27"/>
      <c r="V35" s="27"/>
      <c r="W35" s="27"/>
      <c r="X35" s="27"/>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row>
    <row r="36" spans="1:102" s="5" customFormat="1" ht="29.5" customHeight="1" x14ac:dyDescent="0.35">
      <c r="A36" s="99" t="s">
        <v>76</v>
      </c>
      <c r="B36" s="100"/>
      <c r="C36" s="106"/>
      <c r="D36" s="107"/>
      <c r="E36" s="107"/>
      <c r="F36" s="107"/>
      <c r="G36" s="107"/>
      <c r="H36" s="107"/>
      <c r="I36" s="107"/>
      <c r="J36" s="107"/>
      <c r="K36" s="107"/>
      <c r="L36" s="107"/>
      <c r="M36" s="107"/>
      <c r="N36" s="107"/>
      <c r="O36" s="107"/>
      <c r="P36" s="107"/>
      <c r="Q36" s="107"/>
      <c r="R36" s="107"/>
      <c r="S36" s="107"/>
      <c r="T36" s="107"/>
      <c r="U36" s="107"/>
      <c r="V36" s="107"/>
      <c r="W36" s="107"/>
      <c r="X36" s="10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row>
    <row r="37" spans="1:102" s="5" customFormat="1" x14ac:dyDescent="0.35">
      <c r="A37" s="19"/>
      <c r="B37" s="19"/>
      <c r="C37" s="28"/>
      <c r="D37" s="28"/>
      <c r="E37" s="29"/>
      <c r="F37" s="29"/>
      <c r="G37" s="20"/>
      <c r="H37" s="30"/>
      <c r="I37" s="31"/>
      <c r="J37" s="31"/>
      <c r="K37" s="31"/>
      <c r="L37" s="30"/>
      <c r="M37" s="30"/>
      <c r="N37" s="30"/>
      <c r="O37" s="30"/>
      <c r="P37" s="30"/>
      <c r="Q37" s="30"/>
      <c r="R37" s="30"/>
      <c r="S37" s="30"/>
      <c r="T37" s="30"/>
      <c r="U37" s="30"/>
      <c r="V37" s="30"/>
      <c r="W37" s="105"/>
      <c r="X37" s="105"/>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row>
    <row r="39" spans="1:102" ht="16" x14ac:dyDescent="0.4">
      <c r="A39" s="45" t="s">
        <v>5</v>
      </c>
    </row>
    <row r="40" spans="1:102" x14ac:dyDescent="0.35">
      <c r="A40" s="53"/>
      <c r="B40" s="47"/>
      <c r="C40" s="47"/>
      <c r="D40" s="47"/>
      <c r="E40" s="47"/>
      <c r="F40" s="47"/>
      <c r="G40" s="49"/>
      <c r="H40" s="47"/>
      <c r="I40" s="46"/>
      <c r="J40" s="46"/>
      <c r="K40" s="46"/>
      <c r="L40" s="47"/>
      <c r="M40" s="47"/>
      <c r="N40" s="47"/>
      <c r="O40" s="47"/>
      <c r="P40" s="47"/>
      <c r="Q40" s="47"/>
      <c r="R40" s="47"/>
      <c r="S40" s="47"/>
      <c r="T40" s="47"/>
      <c r="U40" s="47"/>
      <c r="V40" s="47"/>
      <c r="W40" s="47"/>
      <c r="X40" s="47"/>
    </row>
    <row r="41" spans="1:102" s="8" customFormat="1" x14ac:dyDescent="0.35">
      <c r="A41" s="54" t="s">
        <v>94</v>
      </c>
      <c r="B41" s="50"/>
      <c r="C41" s="50"/>
      <c r="D41" s="50"/>
      <c r="E41" s="50"/>
      <c r="F41" s="50"/>
      <c r="G41" s="51"/>
      <c r="H41" s="50"/>
      <c r="I41" s="52"/>
      <c r="J41" s="52"/>
      <c r="K41" s="52"/>
      <c r="L41" s="50"/>
      <c r="M41" s="50"/>
      <c r="N41" s="50"/>
      <c r="O41" s="50"/>
      <c r="P41" s="50"/>
      <c r="Q41" s="50"/>
      <c r="R41" s="50"/>
      <c r="S41" s="50"/>
      <c r="T41" s="50"/>
      <c r="U41" s="50"/>
      <c r="V41" s="50"/>
      <c r="W41" s="50"/>
      <c r="X41" s="50"/>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row>
    <row r="42" spans="1:102" x14ac:dyDescent="0.35">
      <c r="A42" s="53"/>
      <c r="B42" s="47"/>
      <c r="C42" s="47"/>
      <c r="D42" s="47"/>
      <c r="E42" s="47"/>
      <c r="F42" s="47"/>
      <c r="G42" s="49"/>
      <c r="H42" s="47"/>
      <c r="I42" s="46"/>
      <c r="J42" s="46"/>
      <c r="K42" s="46"/>
      <c r="L42" s="47"/>
      <c r="M42" s="47"/>
      <c r="N42" s="47"/>
      <c r="O42" s="47"/>
      <c r="P42" s="47"/>
      <c r="Q42" s="47"/>
      <c r="R42" s="47"/>
      <c r="S42" s="47"/>
      <c r="T42" s="47"/>
      <c r="U42" s="47"/>
      <c r="V42" s="47"/>
      <c r="W42" s="47"/>
      <c r="X42" s="47"/>
    </row>
    <row r="43" spans="1:102" x14ac:dyDescent="0.35">
      <c r="A43" s="55" t="s">
        <v>111</v>
      </c>
      <c r="B43" s="50"/>
      <c r="C43" s="50"/>
      <c r="D43" s="50"/>
      <c r="E43" s="50"/>
      <c r="F43" s="50"/>
      <c r="G43" s="51"/>
      <c r="H43" s="50"/>
      <c r="I43" s="52"/>
      <c r="J43" s="52"/>
      <c r="K43" s="52"/>
      <c r="L43" s="50"/>
      <c r="M43" s="50"/>
      <c r="N43" s="50"/>
      <c r="O43" s="50"/>
      <c r="P43" s="50"/>
      <c r="Q43" s="50"/>
      <c r="R43" s="47"/>
      <c r="S43" s="47"/>
      <c r="T43" s="47"/>
      <c r="U43" s="47"/>
      <c r="V43" s="47"/>
      <c r="W43" s="47"/>
      <c r="X43" s="47"/>
    </row>
    <row r="45" spans="1:102" ht="16" x14ac:dyDescent="0.4">
      <c r="A45" s="45" t="s">
        <v>97</v>
      </c>
    </row>
    <row r="46" spans="1:102" ht="43.5" x14ac:dyDescent="0.35">
      <c r="A46" s="44" t="s">
        <v>99</v>
      </c>
      <c r="B46" s="1"/>
      <c r="C46" s="1"/>
      <c r="D46" s="1"/>
      <c r="E46" s="1"/>
      <c r="F46" s="1"/>
      <c r="G46" s="1"/>
      <c r="H46" s="1"/>
      <c r="I46" s="1"/>
      <c r="J46" s="11" t="s">
        <v>1</v>
      </c>
    </row>
    <row r="47" spans="1:102" x14ac:dyDescent="0.35">
      <c r="A47" s="1"/>
      <c r="B47" s="1"/>
      <c r="C47" s="1" t="s">
        <v>85</v>
      </c>
      <c r="D47" s="1"/>
      <c r="E47" s="1"/>
      <c r="F47" s="1"/>
      <c r="G47" s="1"/>
      <c r="H47" s="1"/>
      <c r="I47" s="1"/>
      <c r="J47" s="1"/>
    </row>
    <row r="48" spans="1:102" x14ac:dyDescent="0.35">
      <c r="A48" s="1"/>
      <c r="B48" s="1"/>
      <c r="C48" s="1" t="s">
        <v>86</v>
      </c>
      <c r="D48" s="1"/>
      <c r="E48" s="1"/>
      <c r="F48" s="1"/>
      <c r="G48" s="1"/>
      <c r="H48" s="1"/>
      <c r="I48" s="1"/>
      <c r="J48" s="1"/>
    </row>
    <row r="49" spans="1:10" x14ac:dyDescent="0.35">
      <c r="A49" s="1"/>
      <c r="B49" s="1"/>
      <c r="C49" s="1" t="s">
        <v>87</v>
      </c>
      <c r="D49" s="1"/>
      <c r="E49" s="1"/>
      <c r="F49" s="1"/>
      <c r="G49" s="1"/>
      <c r="H49" s="1"/>
      <c r="I49" s="1"/>
      <c r="J49" s="1"/>
    </row>
    <row r="50" spans="1:10" x14ac:dyDescent="0.35">
      <c r="A50" s="1"/>
      <c r="B50" s="1"/>
      <c r="C50" s="1" t="s">
        <v>88</v>
      </c>
      <c r="D50" s="1"/>
      <c r="E50" s="1"/>
      <c r="F50" s="1"/>
      <c r="G50" s="1"/>
      <c r="H50" s="1"/>
      <c r="I50" s="1"/>
      <c r="J50" s="1"/>
    </row>
    <row r="51" spans="1:10" x14ac:dyDescent="0.35">
      <c r="A51" s="1"/>
      <c r="B51" s="1"/>
      <c r="C51" s="1" t="s">
        <v>89</v>
      </c>
      <c r="D51" s="1"/>
      <c r="E51" s="1"/>
      <c r="F51" s="1"/>
      <c r="G51" s="1"/>
      <c r="H51" s="1"/>
      <c r="I51" s="1"/>
      <c r="J51" s="1"/>
    </row>
    <row r="52" spans="1:10" ht="29" x14ac:dyDescent="0.35">
      <c r="A52" s="1"/>
      <c r="B52" s="1"/>
      <c r="C52" s="1" t="s">
        <v>90</v>
      </c>
      <c r="D52" s="1"/>
      <c r="E52" s="1"/>
      <c r="F52" s="1"/>
      <c r="G52" s="1"/>
      <c r="H52" s="1"/>
      <c r="I52" s="1"/>
      <c r="J52" s="1"/>
    </row>
    <row r="53" spans="1:10" ht="29" x14ac:dyDescent="0.35">
      <c r="A53" s="1"/>
      <c r="B53" s="1"/>
      <c r="C53" s="1" t="s">
        <v>91</v>
      </c>
      <c r="D53" s="1"/>
      <c r="E53" s="1"/>
      <c r="F53" s="1"/>
      <c r="G53" s="1"/>
      <c r="H53" s="1"/>
      <c r="I53" s="1"/>
      <c r="J53" s="1"/>
    </row>
    <row r="54" spans="1:10" x14ac:dyDescent="0.35">
      <c r="A54" s="1"/>
      <c r="B54" s="1"/>
      <c r="C54" s="1" t="s">
        <v>92</v>
      </c>
      <c r="D54" s="1"/>
      <c r="E54" s="1"/>
      <c r="F54" s="1"/>
      <c r="G54" s="1"/>
      <c r="H54" s="1"/>
      <c r="I54" s="1"/>
      <c r="J54" s="1"/>
    </row>
    <row r="55" spans="1:10" x14ac:dyDescent="0.35">
      <c r="B55" s="1"/>
      <c r="C55" s="1"/>
      <c r="D55" s="1"/>
      <c r="E55" s="1"/>
      <c r="F55" s="1"/>
      <c r="G55" s="1"/>
      <c r="H55" s="1"/>
      <c r="I55" s="1"/>
    </row>
    <row r="56" spans="1:10" x14ac:dyDescent="0.35">
      <c r="B56" s="1"/>
      <c r="C56" s="1"/>
      <c r="D56" s="1"/>
      <c r="E56" s="1"/>
      <c r="F56" s="1"/>
      <c r="G56" s="1"/>
      <c r="H56" s="1"/>
      <c r="I56" s="1"/>
    </row>
    <row r="57" spans="1:10" x14ac:dyDescent="0.35">
      <c r="B57" s="1"/>
      <c r="C57" s="1" t="s">
        <v>77</v>
      </c>
      <c r="D57" s="1"/>
      <c r="E57" s="1"/>
      <c r="F57" s="1"/>
      <c r="G57" s="1"/>
      <c r="H57" s="1"/>
      <c r="I57" s="1"/>
      <c r="J57" s="1"/>
    </row>
    <row r="58" spans="1:10" x14ac:dyDescent="0.35">
      <c r="B58" s="1"/>
      <c r="C58" s="1" t="s">
        <v>78</v>
      </c>
      <c r="D58" s="1"/>
      <c r="E58" s="1"/>
      <c r="F58" s="1"/>
      <c r="G58" s="1"/>
      <c r="H58" s="1"/>
      <c r="I58" s="1"/>
      <c r="J58" s="1"/>
    </row>
    <row r="59" spans="1:10" x14ac:dyDescent="0.35">
      <c r="B59" s="1"/>
      <c r="C59" s="1" t="s">
        <v>79</v>
      </c>
      <c r="D59" s="1"/>
      <c r="E59" s="1"/>
      <c r="F59" s="1"/>
      <c r="G59" s="1"/>
      <c r="H59" s="1"/>
      <c r="I59" s="1"/>
      <c r="J59" s="1"/>
    </row>
    <row r="60" spans="1:10" x14ac:dyDescent="0.35">
      <c r="B60" s="1"/>
      <c r="C60" s="1" t="s">
        <v>80</v>
      </c>
      <c r="D60" s="1"/>
      <c r="E60" s="1"/>
      <c r="F60" s="1"/>
      <c r="G60" s="1"/>
      <c r="H60" s="1"/>
      <c r="I60" s="1"/>
      <c r="J60" s="1"/>
    </row>
    <row r="61" spans="1:10" x14ac:dyDescent="0.35">
      <c r="B61" s="1"/>
      <c r="C61" s="1" t="s">
        <v>81</v>
      </c>
      <c r="D61" s="1"/>
      <c r="E61" s="1"/>
      <c r="F61" s="1"/>
      <c r="G61" s="1"/>
      <c r="H61" s="1"/>
      <c r="I61" s="1"/>
      <c r="J61" s="1"/>
    </row>
    <row r="62" spans="1:10" ht="29" x14ac:dyDescent="0.35">
      <c r="C62" s="1" t="s">
        <v>82</v>
      </c>
      <c r="D62" s="1"/>
      <c r="E62" s="1"/>
      <c r="F62" s="1"/>
      <c r="G62" s="1"/>
      <c r="H62" s="1"/>
      <c r="I62" s="1"/>
      <c r="J62" s="1"/>
    </row>
    <row r="63" spans="1:10" ht="29" x14ac:dyDescent="0.35">
      <c r="C63" s="1" t="s">
        <v>83</v>
      </c>
      <c r="D63" s="1"/>
      <c r="E63" s="1"/>
      <c r="F63" s="1"/>
      <c r="G63" s="1"/>
      <c r="H63" s="1"/>
      <c r="I63" s="1"/>
      <c r="J63" s="1"/>
    </row>
    <row r="64" spans="1:10" x14ac:dyDescent="0.35">
      <c r="C64" s="1" t="s">
        <v>84</v>
      </c>
      <c r="D64" s="1"/>
      <c r="E64" s="1"/>
      <c r="F64" s="1"/>
      <c r="G64" s="1"/>
      <c r="H64" s="1"/>
      <c r="I64" s="1"/>
      <c r="J64" s="1"/>
    </row>
    <row r="66" spans="1:10" ht="16" x14ac:dyDescent="0.4">
      <c r="A66" s="45" t="s">
        <v>98</v>
      </c>
    </row>
    <row r="67" spans="1:10" x14ac:dyDescent="0.35">
      <c r="A67" s="44" t="s">
        <v>99</v>
      </c>
      <c r="J67" s="12" t="s">
        <v>1</v>
      </c>
    </row>
    <row r="68" spans="1:10" x14ac:dyDescent="0.35">
      <c r="C68" s="1" t="s">
        <v>85</v>
      </c>
      <c r="D68" s="1"/>
      <c r="E68" s="1"/>
      <c r="F68" s="1"/>
      <c r="G68" s="1"/>
      <c r="H68" s="1"/>
      <c r="I68" s="1"/>
      <c r="J68" s="1"/>
    </row>
    <row r="69" spans="1:10" x14ac:dyDescent="0.35">
      <c r="C69" s="1" t="s">
        <v>86</v>
      </c>
      <c r="D69" s="1"/>
      <c r="E69" s="1"/>
      <c r="F69" s="1"/>
      <c r="G69" s="1"/>
      <c r="H69" s="1"/>
      <c r="I69" s="1"/>
      <c r="J69" s="1"/>
    </row>
    <row r="70" spans="1:10" x14ac:dyDescent="0.35">
      <c r="C70" s="1" t="s">
        <v>87</v>
      </c>
      <c r="D70" s="1"/>
      <c r="E70" s="1"/>
      <c r="F70" s="1"/>
      <c r="G70" s="1"/>
      <c r="H70" s="1"/>
      <c r="I70" s="1"/>
      <c r="J70" s="1"/>
    </row>
    <row r="71" spans="1:10" x14ac:dyDescent="0.35">
      <c r="C71" s="1" t="s">
        <v>88</v>
      </c>
      <c r="D71" s="1"/>
      <c r="E71" s="1"/>
      <c r="F71" s="1"/>
      <c r="G71" s="1"/>
      <c r="H71" s="1"/>
      <c r="I71" s="1"/>
      <c r="J71" s="1"/>
    </row>
    <row r="72" spans="1:10" x14ac:dyDescent="0.35">
      <c r="C72" s="1" t="s">
        <v>89</v>
      </c>
      <c r="D72" s="1"/>
      <c r="E72" s="1"/>
      <c r="F72" s="1"/>
      <c r="G72" s="1"/>
      <c r="H72" s="1"/>
      <c r="I72" s="1"/>
      <c r="J72" s="1"/>
    </row>
    <row r="73" spans="1:10" ht="29" x14ac:dyDescent="0.35">
      <c r="C73" s="1" t="s">
        <v>90</v>
      </c>
      <c r="D73" s="1"/>
      <c r="E73" s="1"/>
      <c r="F73" s="1"/>
      <c r="G73" s="1"/>
      <c r="H73" s="1"/>
      <c r="I73" s="1"/>
      <c r="J73" s="1"/>
    </row>
    <row r="74" spans="1:10" ht="29" x14ac:dyDescent="0.35">
      <c r="C74" s="1" t="s">
        <v>91</v>
      </c>
      <c r="D74" s="1"/>
      <c r="E74" s="1"/>
      <c r="F74" s="1"/>
      <c r="G74" s="1"/>
      <c r="H74" s="1"/>
      <c r="I74" s="1"/>
      <c r="J74" s="1"/>
    </row>
    <row r="75" spans="1:10" x14ac:dyDescent="0.35">
      <c r="C75" s="1" t="s">
        <v>92</v>
      </c>
      <c r="D75" s="1"/>
      <c r="E75" s="1"/>
      <c r="F75" s="1"/>
      <c r="G75" s="1"/>
      <c r="H75" s="1"/>
      <c r="I75" s="1"/>
      <c r="J75" s="1"/>
    </row>
    <row r="78" spans="1:10" x14ac:dyDescent="0.35">
      <c r="C78" s="1" t="s">
        <v>77</v>
      </c>
      <c r="D78" s="1"/>
      <c r="E78" s="1"/>
      <c r="F78" s="1"/>
      <c r="G78" s="1"/>
      <c r="H78" s="1"/>
      <c r="I78" s="1"/>
      <c r="J78" s="1"/>
    </row>
    <row r="79" spans="1:10" x14ac:dyDescent="0.35">
      <c r="C79" s="1" t="s">
        <v>78</v>
      </c>
      <c r="D79" s="1"/>
      <c r="E79" s="1"/>
      <c r="F79" s="1"/>
      <c r="G79" s="1"/>
      <c r="H79" s="1"/>
      <c r="I79" s="1"/>
      <c r="J79" s="1"/>
    </row>
    <row r="80" spans="1:10" x14ac:dyDescent="0.35">
      <c r="C80" s="1" t="s">
        <v>79</v>
      </c>
      <c r="D80" s="1"/>
      <c r="E80" s="1"/>
      <c r="F80" s="1"/>
      <c r="G80" s="1"/>
      <c r="H80" s="1"/>
      <c r="I80" s="1"/>
      <c r="J80" s="1"/>
    </row>
    <row r="81" spans="3:10" x14ac:dyDescent="0.35">
      <c r="C81" s="1" t="s">
        <v>80</v>
      </c>
      <c r="D81" s="1"/>
      <c r="E81" s="1"/>
      <c r="F81" s="1"/>
      <c r="G81" s="1"/>
      <c r="H81" s="1"/>
      <c r="I81" s="1"/>
      <c r="J81" s="1"/>
    </row>
    <row r="82" spans="3:10" x14ac:dyDescent="0.35">
      <c r="C82" s="1" t="s">
        <v>81</v>
      </c>
      <c r="D82" s="1"/>
      <c r="E82" s="1"/>
      <c r="F82" s="1"/>
      <c r="G82" s="1"/>
      <c r="H82" s="1"/>
      <c r="I82" s="1"/>
      <c r="J82" s="1"/>
    </row>
    <row r="83" spans="3:10" ht="29" x14ac:dyDescent="0.35">
      <c r="C83" s="1" t="s">
        <v>82</v>
      </c>
      <c r="D83" s="1"/>
      <c r="E83" s="1"/>
      <c r="F83" s="1"/>
      <c r="G83" s="1"/>
      <c r="H83" s="1"/>
      <c r="I83" s="1"/>
      <c r="J83" s="1"/>
    </row>
    <row r="84" spans="3:10" ht="29" x14ac:dyDescent="0.35">
      <c r="C84" s="1" t="s">
        <v>83</v>
      </c>
      <c r="D84" s="1"/>
      <c r="E84" s="1"/>
      <c r="F84" s="1"/>
      <c r="G84" s="1"/>
      <c r="H84" s="1"/>
      <c r="I84" s="1"/>
      <c r="J84" s="1"/>
    </row>
    <row r="85" spans="3:10" x14ac:dyDescent="0.35">
      <c r="C85" s="1" t="s">
        <v>84</v>
      </c>
      <c r="D85" s="1"/>
      <c r="E85" s="1"/>
      <c r="F85" s="1"/>
      <c r="G85" s="1"/>
      <c r="H85" s="1"/>
      <c r="I85" s="1"/>
      <c r="J85" s="1"/>
    </row>
  </sheetData>
  <mergeCells count="29">
    <mergeCell ref="W9:X9"/>
    <mergeCell ref="W25:X25"/>
    <mergeCell ref="P8:X8"/>
    <mergeCell ref="P24:X24"/>
    <mergeCell ref="C20:X20"/>
    <mergeCell ref="U25:V25"/>
    <mergeCell ref="A36:B36"/>
    <mergeCell ref="A25:B34"/>
    <mergeCell ref="G25:H25"/>
    <mergeCell ref="I25:J25"/>
    <mergeCell ref="K25:L25"/>
    <mergeCell ref="Q25:R25"/>
    <mergeCell ref="S25:T25"/>
    <mergeCell ref="A20:B20"/>
    <mergeCell ref="M25:N25"/>
    <mergeCell ref="D24:N24"/>
    <mergeCell ref="C36:X36"/>
    <mergeCell ref="E2:L2"/>
    <mergeCell ref="E3:L3"/>
    <mergeCell ref="G9:H9"/>
    <mergeCell ref="I9:J9"/>
    <mergeCell ref="K9:L9"/>
    <mergeCell ref="Q9:R9"/>
    <mergeCell ref="B6:D6"/>
    <mergeCell ref="A9:B18"/>
    <mergeCell ref="S9:T9"/>
    <mergeCell ref="U9:V9"/>
    <mergeCell ref="M9:N9"/>
    <mergeCell ref="D8:N8"/>
  </mergeCells>
  <phoneticPr fontId="6" type="noConversion"/>
  <conditionalFormatting sqref="E11:E18">
    <cfRule type="expression" dxfId="139" priority="17">
      <formula>AND(E11&lt;&gt;"",E11&gt;=200)</formula>
    </cfRule>
    <cfRule type="expression" dxfId="138" priority="18">
      <formula>AND(E11&lt;&gt;"",E11&lt;200)</formula>
    </cfRule>
  </conditionalFormatting>
  <conditionalFormatting sqref="E27:E34">
    <cfRule type="expression" dxfId="137" priority="35">
      <formula>AND(E27&lt;&gt;"",E27&gt;=200)</formula>
    </cfRule>
    <cfRule type="expression" dxfId="136" priority="36">
      <formula>AND(E27&lt;&gt;"",E27&lt;200)</formula>
    </cfRule>
  </conditionalFormatting>
  <conditionalFormatting sqref="F11:F18">
    <cfRule type="containsText" dxfId="135" priority="34" operator="containsText" text="TARGET">
      <formula>NOT(ISERROR(SEARCH("TARGET",F11)))</formula>
    </cfRule>
  </conditionalFormatting>
  <conditionalFormatting sqref="F27:F34">
    <cfRule type="containsText" dxfId="134" priority="52" operator="containsText" text="TARGET">
      <formula>NOT(ISERROR(SEARCH("TARGET",F27)))</formula>
    </cfRule>
  </conditionalFormatting>
  <conditionalFormatting sqref="G11:G18">
    <cfRule type="expression" dxfId="133" priority="19">
      <formula>AND(G11&lt;&gt;"",G11&gt;=200)</formula>
    </cfRule>
    <cfRule type="expression" dxfId="132" priority="20">
      <formula>AND(G11&lt;&gt;"",G11&lt;200)</formula>
    </cfRule>
  </conditionalFormatting>
  <conditionalFormatting sqref="G27:G34">
    <cfRule type="expression" dxfId="131" priority="37">
      <formula>AND(G27&lt;&gt;"",G27&gt;=200)</formula>
    </cfRule>
    <cfRule type="expression" dxfId="130" priority="38">
      <formula>AND(G27&lt;&gt;"",G27&lt;200)</formula>
    </cfRule>
  </conditionalFormatting>
  <conditionalFormatting sqref="H11:H18">
    <cfRule type="expression" dxfId="129" priority="53" stopIfTrue="1">
      <formula>AND(H11&lt;&gt;"",OR(G11&lt;200,H11&lt;=-25))</formula>
    </cfRule>
    <cfRule type="expression" dxfId="128" priority="54" stopIfTrue="1">
      <formula>AND(H11&lt;&gt;"",G11&gt;=200,H11&gt;-25)</formula>
    </cfRule>
  </conditionalFormatting>
  <conditionalFormatting sqref="H27:H34">
    <cfRule type="expression" dxfId="127" priority="55" stopIfTrue="1">
      <formula>AND(H27&lt;&gt;"",OR(G27&lt;200,H27&lt;=-25))</formula>
    </cfRule>
    <cfRule type="expression" dxfId="126" priority="56" stopIfTrue="1">
      <formula>AND(H27&lt;&gt;"",G27&gt;=200,H27&gt;-25)</formula>
    </cfRule>
  </conditionalFormatting>
  <conditionalFormatting sqref="I11:I18">
    <cfRule type="expression" dxfId="125" priority="21">
      <formula>AND(I11&lt;&gt;"",I11&gt;=200)</formula>
    </cfRule>
    <cfRule type="expression" dxfId="124" priority="22">
      <formula>AND(I11&lt;&gt;"",I11&lt;200)</formula>
    </cfRule>
  </conditionalFormatting>
  <conditionalFormatting sqref="I27:I34">
    <cfRule type="expression" dxfId="123" priority="39">
      <formula>AND(I27&lt;&gt;"",I27&gt;=200)</formula>
    </cfRule>
    <cfRule type="expression" dxfId="122" priority="40">
      <formula>AND(I27&lt;&gt;"",I27&lt;200)</formula>
    </cfRule>
  </conditionalFormatting>
  <conditionalFormatting sqref="J11:J18">
    <cfRule type="expression" dxfId="121" priority="57" stopIfTrue="1">
      <formula>AND(J11&lt;&gt;"",OR(I11&lt;200,J11&lt;=-25))</formula>
    </cfRule>
    <cfRule type="expression" dxfId="120" priority="58" stopIfTrue="1">
      <formula>AND(J11&lt;&gt;"",I11&gt;=200,J11&gt;-25)</formula>
    </cfRule>
  </conditionalFormatting>
  <conditionalFormatting sqref="J27:J34">
    <cfRule type="expression" dxfId="119" priority="59" stopIfTrue="1">
      <formula>AND(J27&lt;&gt;"",OR(I27&lt;200,J27&lt;=-25))</formula>
    </cfRule>
    <cfRule type="expression" dxfId="118" priority="60" stopIfTrue="1">
      <formula>AND(J27&lt;&gt;"",I27&gt;=200,J27&gt;-25)</formula>
    </cfRule>
  </conditionalFormatting>
  <conditionalFormatting sqref="K11:K18">
    <cfRule type="expression" dxfId="117" priority="23">
      <formula>AND(K11&lt;&gt;"",K11&gt;=200)</formula>
    </cfRule>
    <cfRule type="expression" dxfId="116" priority="24">
      <formula>AND(K11&lt;&gt;"",K11&lt;200)</formula>
    </cfRule>
  </conditionalFormatting>
  <conditionalFormatting sqref="K27:K34">
    <cfRule type="expression" dxfId="115" priority="41">
      <formula>AND(K27&lt;&gt;"",K27&gt;=200)</formula>
    </cfRule>
    <cfRule type="expression" dxfId="114" priority="42">
      <formula>AND(K27&lt;&gt;"",K27&lt;200)</formula>
    </cfRule>
  </conditionalFormatting>
  <conditionalFormatting sqref="L11:L18 N11:N18">
    <cfRule type="expression" dxfId="113" priority="61" stopIfTrue="1">
      <formula>AND(L11&lt;&gt;"",OR(K11&lt;200,L11&lt;=-25))</formula>
    </cfRule>
    <cfRule type="expression" dxfId="112" priority="62" stopIfTrue="1">
      <formula>AND(L11&lt;&gt;"",K11&gt;=200,L11&gt;-25)</formula>
    </cfRule>
  </conditionalFormatting>
  <conditionalFormatting sqref="L27:L34 N27:N34">
    <cfRule type="expression" dxfId="111" priority="63" stopIfTrue="1">
      <formula>AND(L27&lt;&gt;"",OR(K27&lt;200,L27&lt;=-25))</formula>
    </cfRule>
    <cfRule type="expression" dxfId="110" priority="64" stopIfTrue="1">
      <formula>AND(L27&lt;&gt;"",K27&gt;=200,L27&gt;-25)</formula>
    </cfRule>
  </conditionalFormatting>
  <conditionalFormatting sqref="Q11:Q18">
    <cfRule type="expression" dxfId="109" priority="25">
      <formula>AND(Q11&lt;&gt;"",Q11&gt;=200)</formula>
    </cfRule>
    <cfRule type="expression" dxfId="108" priority="26">
      <formula>AND(Q11&lt;&gt;"",Q11&lt;200)</formula>
    </cfRule>
    <cfRule type="expression" dxfId="107" priority="77" stopIfTrue="1">
      <formula>AND(Q11&lt;&gt;"",Q11&gt;=1.05*IF($M11&lt;&gt;"",$M11,IF($K11&lt;&gt;"",$K11,IF($I11&lt;&gt;"",$I11,$G11))))</formula>
    </cfRule>
  </conditionalFormatting>
  <conditionalFormatting sqref="Q27:Q34">
    <cfRule type="expression" dxfId="106" priority="43">
      <formula>AND(Q27&lt;&gt;"",Q27&gt;=200)</formula>
    </cfRule>
    <cfRule type="expression" dxfId="105" priority="44">
      <formula>AND(Q27&lt;&gt;"",Q27&lt;200)</formula>
    </cfRule>
    <cfRule type="expression" dxfId="104" priority="81" stopIfTrue="1">
      <formula>AND(Q27&lt;&gt;"",Q27&gt;=1.05*IF($M27&lt;&gt;"",$M27,IF($K27&lt;&gt;"",$K27,IF($I27&lt;&gt;"",$I27,$G27))))</formula>
    </cfRule>
  </conditionalFormatting>
  <conditionalFormatting sqref="R11:R18">
    <cfRule type="expression" dxfId="103" priority="65" stopIfTrue="1">
      <formula>AND(R11&lt;&gt;"",OR(Q11&lt;200,R11&lt;=-25))</formula>
    </cfRule>
    <cfRule type="expression" dxfId="102" priority="66" stopIfTrue="1">
      <formula>AND(R11&lt;&gt;"",Q11&gt;=200,R11&gt;-25)</formula>
    </cfRule>
  </conditionalFormatting>
  <conditionalFormatting sqref="R27:R34">
    <cfRule type="expression" dxfId="101" priority="67" stopIfTrue="1">
      <formula>AND(R27&lt;&gt;"",OR(Q27&lt;200,R27&lt;=-25))</formula>
    </cfRule>
    <cfRule type="expression" dxfId="100" priority="68" stopIfTrue="1">
      <formula>AND(R27&lt;&gt;"",Q27&gt;=200,R27&gt;-25)</formula>
    </cfRule>
  </conditionalFormatting>
  <conditionalFormatting sqref="S11:S18">
    <cfRule type="expression" dxfId="99" priority="27">
      <formula>AND(S11&lt;&gt;"",S11&gt;=200)</formula>
    </cfRule>
    <cfRule type="expression" dxfId="98" priority="28">
      <formula>AND(S11&lt;&gt;"",S11&lt;200)</formula>
    </cfRule>
    <cfRule type="expression" dxfId="97" priority="78" stopIfTrue="1">
      <formula>AND(S11&lt;&gt;"",S11&gt;=1.05*IF($M11&lt;&gt;"",$M11,IF($K11&lt;&gt;"",$K11,IF($I11&lt;&gt;"",$I11,$G11))))</formula>
    </cfRule>
  </conditionalFormatting>
  <conditionalFormatting sqref="S27:S34">
    <cfRule type="expression" dxfId="96" priority="45">
      <formula>AND(S27&lt;&gt;"",S27&gt;=200)</formula>
    </cfRule>
    <cfRule type="expression" dxfId="95" priority="46">
      <formula>AND(S27&lt;&gt;"",S27&lt;200)</formula>
    </cfRule>
    <cfRule type="expression" dxfId="94" priority="82" stopIfTrue="1">
      <formula>AND(S27&lt;&gt;"",S27&gt;=1.05*IF($M27&lt;&gt;"",$M27,IF($K27&lt;&gt;"",$K27,IF($I27&lt;&gt;"",$I27,$G27))))</formula>
    </cfRule>
  </conditionalFormatting>
  <conditionalFormatting sqref="T11:T18">
    <cfRule type="expression" dxfId="93" priority="69" stopIfTrue="1">
      <formula>AND(T11&lt;&gt;"",OR(S11&lt;200,T11&lt;=-25))</formula>
    </cfRule>
    <cfRule type="expression" dxfId="92" priority="70" stopIfTrue="1">
      <formula>AND(T11&lt;&gt;"",S11&gt;=200,T11&gt;-25)</formula>
    </cfRule>
  </conditionalFormatting>
  <conditionalFormatting sqref="T27:T34">
    <cfRule type="expression" dxfId="91" priority="71" stopIfTrue="1">
      <formula>AND(T27&lt;&gt;"",OR(S27&lt;200,T27&lt;=-25))</formula>
    </cfRule>
    <cfRule type="expression" dxfId="90" priority="72" stopIfTrue="1">
      <formula>AND(T27&lt;&gt;"",S27&gt;=200,T27&gt;-25)</formula>
    </cfRule>
  </conditionalFormatting>
  <conditionalFormatting sqref="U11:U18">
    <cfRule type="expression" dxfId="89" priority="29">
      <formula>AND(U11&lt;&gt;"",U11&gt;=200)</formula>
    </cfRule>
    <cfRule type="expression" dxfId="88" priority="30">
      <formula>AND(U11&lt;&gt;"",U11&lt;200)</formula>
    </cfRule>
    <cfRule type="expression" dxfId="87" priority="79" stopIfTrue="1">
      <formula>AND(U11&lt;&gt;"",U11&gt;=1.05*IF($M11&lt;&gt;"",$M11,IF($K11&lt;&gt;"",$K11,IF($I11&lt;&gt;"",$I11,$G11))))</formula>
    </cfRule>
  </conditionalFormatting>
  <conditionalFormatting sqref="U27:U34">
    <cfRule type="expression" dxfId="86" priority="47">
      <formula>AND(U27&lt;&gt;"",U27&gt;=200)</formula>
    </cfRule>
    <cfRule type="expression" dxfId="85" priority="48">
      <formula>AND(U27&lt;&gt;"",U27&lt;200)</formula>
    </cfRule>
    <cfRule type="expression" dxfId="84" priority="83" stopIfTrue="1">
      <formula>AND(U27&lt;&gt;"",U27&gt;=1.05*IF($M27&lt;&gt;"",$M27,IF($K27&lt;&gt;"",$K27,IF($I27&lt;&gt;"",$I27,$G27))))</formula>
    </cfRule>
  </conditionalFormatting>
  <conditionalFormatting sqref="V11:V18 X11:X18">
    <cfRule type="expression" dxfId="83" priority="73" stopIfTrue="1">
      <formula>AND(V11&lt;&gt;"",OR(U11&lt;200,V11&lt;=-25))</formula>
    </cfRule>
    <cfRule type="expression" dxfId="82" priority="74" stopIfTrue="1">
      <formula>AND(V11&lt;&gt;"",U11&gt;=200,V11&gt;-25)</formula>
    </cfRule>
  </conditionalFormatting>
  <conditionalFormatting sqref="V27:V34 X27:X34">
    <cfRule type="expression" dxfId="81" priority="75" stopIfTrue="1">
      <formula>AND(V27&lt;&gt;"",OR(U27&lt;200,V27&lt;=-25))</formula>
    </cfRule>
    <cfRule type="expression" dxfId="80" priority="76" stopIfTrue="1">
      <formula>AND(V27&lt;&gt;"",U27&gt;=200,V27&gt;-25)</formula>
    </cfRule>
  </conditionalFormatting>
  <conditionalFormatting sqref="M11:M18">
    <cfRule type="expression" dxfId="79" priority="9">
      <formula>AND(M11&lt;&gt;"",M11&gt;=200)</formula>
    </cfRule>
    <cfRule type="expression" dxfId="78" priority="10">
      <formula>AND(M11&lt;&gt;"",M11&lt;200)</formula>
    </cfRule>
  </conditionalFormatting>
  <conditionalFormatting sqref="M27:M34">
    <cfRule type="expression" dxfId="77" priority="7">
      <formula>AND(M27&lt;&gt;"",M27&gt;=200)</formula>
    </cfRule>
    <cfRule type="expression" dxfId="76" priority="8">
      <formula>AND(M27&lt;&gt;"",M27&lt;200)</formula>
    </cfRule>
  </conditionalFormatting>
  <conditionalFormatting sqref="W11:W18">
    <cfRule type="expression" dxfId="75" priority="5">
      <formula>AND(W11&lt;&gt;"",W11&gt;=200)</formula>
    </cfRule>
    <cfRule type="expression" dxfId="74" priority="6">
      <formula>AND(W11&lt;&gt;"",W11&lt;200)</formula>
    </cfRule>
    <cfRule type="expression" dxfId="73" priority="80" stopIfTrue="1">
      <formula>AND(W11&lt;&gt;"",W11&gt;=1.05*IF($M11&lt;&gt;"",$M11,IF($K11&lt;&gt;"",$K11,IF($I11&lt;&gt;"",$I11,$G11))))</formula>
    </cfRule>
  </conditionalFormatting>
  <conditionalFormatting sqref="W27:W34">
    <cfRule type="expression" dxfId="72" priority="2">
      <formula>AND(W27&lt;&gt;"",W27&gt;=200)</formula>
    </cfRule>
    <cfRule type="expression" dxfId="71" priority="3">
      <formula>AND(W27&lt;&gt;"",W27&lt;200)</formula>
    </cfRule>
    <cfRule type="expression" dxfId="70" priority="84" stopIfTrue="1">
      <formula>AND(W27&lt;&gt;"",W27&gt;=1.05*IF($M27&lt;&gt;"",$M27,IF($K27&lt;&gt;"",$K27,IF($I27&lt;&gt;"",$I27,$G27))))</formula>
    </cfRule>
  </conditionalFormatting>
  <dataValidations count="2">
    <dataValidation type="list" allowBlank="1" showInputMessage="1" sqref="C20" xr:uid="{AEFC193B-CA76-4803-8697-46BC825CD4F3}">
      <formula1>$C$11:$C$18</formula1>
    </dataValidation>
    <dataValidation type="list" allowBlank="1" showInputMessage="1" sqref="C36" xr:uid="{D1A7DC7D-BF64-467D-A8A0-1F4358C6EA5F}">
      <formula1>$C$27:$C$34</formula1>
    </dataValidation>
  </dataValidations>
  <pageMargins left="0.7" right="0.7" top="0.75" bottom="0.75" header="0.3" footer="0.3"/>
  <pageSetup paperSize="9" scale="4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4AE6-F4AD-4DA0-ADD9-5F853456D134}">
  <sheetPr>
    <tabColor rgb="FFF5A623"/>
    <pageSetUpPr fitToPage="1"/>
  </sheetPr>
  <dimension ref="A1:CX85"/>
  <sheetViews>
    <sheetView showGridLines="0" zoomScale="85" zoomScaleNormal="85" workbookViewId="0">
      <pane xSplit="4" topLeftCell="E1" activePane="topRight" state="frozen"/>
      <selection pane="topRight" activeCell="G14" sqref="G14"/>
    </sheetView>
  </sheetViews>
  <sheetFormatPr defaultColWidth="8.81640625" defaultRowHeight="14.5" x14ac:dyDescent="0.35"/>
  <cols>
    <col min="1" max="1" width="13.7265625" customWidth="1"/>
    <col min="2" max="2" width="5.7265625" customWidth="1"/>
    <col min="3" max="3" width="23.81640625" customWidth="1"/>
    <col min="4" max="4" width="10.7265625" customWidth="1"/>
    <col min="5" max="6" width="12.1796875" customWidth="1"/>
    <col min="7" max="7" width="12.1796875" style="4" customWidth="1"/>
    <col min="8" max="8" width="12.1796875" customWidth="1"/>
    <col min="9" max="11" width="12.1796875" style="2" customWidth="1"/>
    <col min="12" max="14" width="12.1796875" customWidth="1"/>
    <col min="15" max="15" width="3" customWidth="1"/>
    <col min="16" max="24" width="12.1796875" customWidth="1"/>
    <col min="25" max="25" width="8.81640625" style="7"/>
    <col min="26" max="26" width="21" style="7" customWidth="1"/>
    <col min="27" max="29" width="13.26953125" style="7" customWidth="1"/>
    <col min="30" max="102" width="8.81640625" style="7"/>
  </cols>
  <sheetData>
    <row r="1" spans="1:102" ht="6" customHeight="1" x14ac:dyDescent="0.35">
      <c r="A1" s="14"/>
      <c r="B1" s="14"/>
      <c r="C1" s="14"/>
      <c r="D1" s="14"/>
      <c r="E1" s="14"/>
      <c r="F1" s="14"/>
      <c r="G1" s="14"/>
      <c r="H1" s="14"/>
      <c r="I1" s="14"/>
      <c r="J1" s="14"/>
      <c r="K1" s="14"/>
      <c r="L1" s="14"/>
      <c r="M1" s="14"/>
      <c r="N1" s="14"/>
      <c r="O1" s="14"/>
      <c r="P1" s="14"/>
      <c r="Q1" s="14"/>
      <c r="R1" s="14"/>
      <c r="S1" s="14"/>
      <c r="T1" s="14"/>
      <c r="U1" s="14"/>
      <c r="V1" s="14"/>
      <c r="W1" s="14"/>
      <c r="X1" s="14"/>
    </row>
    <row r="2" spans="1:102" ht="34" customHeight="1" x14ac:dyDescent="0.7">
      <c r="A2" s="13"/>
      <c r="B2" s="13"/>
      <c r="C2" s="13"/>
      <c r="D2" s="13"/>
      <c r="E2" s="85" t="s">
        <v>7</v>
      </c>
      <c r="F2" s="86"/>
      <c r="G2" s="86"/>
      <c r="H2" s="86"/>
      <c r="I2" s="86"/>
      <c r="J2" s="86"/>
      <c r="K2" s="86"/>
      <c r="L2" s="86"/>
      <c r="O2" s="13"/>
      <c r="P2" s="13"/>
      <c r="Q2" s="13"/>
      <c r="R2" s="13"/>
      <c r="S2" s="13"/>
      <c r="T2" s="13"/>
      <c r="U2" s="13"/>
      <c r="V2" s="13"/>
      <c r="W2" s="13"/>
      <c r="X2" s="13"/>
    </row>
    <row r="3" spans="1:102" ht="18" customHeight="1" x14ac:dyDescent="0.35">
      <c r="A3" s="13"/>
      <c r="B3" s="13"/>
      <c r="C3" s="13"/>
      <c r="D3" s="13"/>
      <c r="E3" s="87" t="s">
        <v>8</v>
      </c>
      <c r="F3" s="86"/>
      <c r="G3" s="86"/>
      <c r="H3" s="86"/>
      <c r="I3" s="86"/>
      <c r="J3" s="86"/>
      <c r="K3" s="86"/>
      <c r="L3" s="86"/>
      <c r="O3" s="13"/>
      <c r="P3" s="13"/>
      <c r="Q3" s="13"/>
      <c r="R3" s="13"/>
      <c r="S3" s="13"/>
      <c r="T3" s="13"/>
      <c r="U3" s="13"/>
      <c r="V3" s="13"/>
      <c r="W3" s="13"/>
      <c r="X3" s="13"/>
    </row>
    <row r="4" spans="1:102" ht="4" customHeight="1" x14ac:dyDescent="0.35">
      <c r="A4" s="14"/>
      <c r="B4" s="14"/>
      <c r="C4" s="14"/>
      <c r="D4" s="14"/>
      <c r="E4" s="14"/>
      <c r="F4" s="14"/>
      <c r="G4" s="14"/>
      <c r="H4" s="14"/>
      <c r="I4" s="14"/>
      <c r="J4" s="14"/>
      <c r="K4" s="14"/>
      <c r="L4" s="14"/>
      <c r="M4" s="14"/>
      <c r="N4" s="14"/>
      <c r="O4" s="14"/>
      <c r="P4" s="14"/>
      <c r="Q4" s="14"/>
      <c r="R4" s="14"/>
      <c r="S4" s="14"/>
      <c r="T4" s="14"/>
      <c r="U4" s="14"/>
      <c r="V4" s="14"/>
      <c r="W4" s="14"/>
      <c r="X4" s="14"/>
      <c r="Z4" s="69" t="s">
        <v>14</v>
      </c>
    </row>
    <row r="5" spans="1:102" x14ac:dyDescent="0.35">
      <c r="Y5" s="5"/>
      <c r="AB5" s="57" t="s">
        <v>13</v>
      </c>
      <c r="AC5" s="56">
        <v>200</v>
      </c>
    </row>
    <row r="6" spans="1:102" ht="16" x14ac:dyDescent="0.35">
      <c r="A6" s="63" t="s">
        <v>3</v>
      </c>
      <c r="B6" s="90"/>
      <c r="C6" s="91"/>
      <c r="D6" s="92"/>
      <c r="E6" s="64"/>
      <c r="F6" s="64"/>
      <c r="G6" s="58" t="s">
        <v>4</v>
      </c>
      <c r="H6" s="65"/>
      <c r="I6" s="49"/>
      <c r="J6" s="49"/>
      <c r="K6" s="49"/>
      <c r="L6" s="66"/>
      <c r="M6" s="66"/>
      <c r="N6" s="66"/>
      <c r="O6" s="66"/>
      <c r="P6" s="66"/>
      <c r="Q6" s="66"/>
      <c r="R6" s="66"/>
      <c r="S6" s="66"/>
      <c r="T6" s="66"/>
      <c r="U6" s="66"/>
      <c r="V6" s="66"/>
      <c r="W6" s="66"/>
      <c r="X6" s="66"/>
      <c r="Y6" s="5"/>
      <c r="Z6" s="68" t="s">
        <v>9</v>
      </c>
      <c r="AA6" s="67"/>
      <c r="AB6" s="67"/>
      <c r="AC6" s="67"/>
    </row>
    <row r="7" spans="1:102" ht="16" x14ac:dyDescent="0.4">
      <c r="A7" s="16"/>
      <c r="E7" s="15"/>
      <c r="F7" s="15"/>
      <c r="G7" s="17"/>
      <c r="H7" s="18"/>
      <c r="Y7" s="5"/>
      <c r="Z7" s="68" t="s">
        <v>10</v>
      </c>
      <c r="AA7" s="68" t="s">
        <v>16</v>
      </c>
      <c r="AB7" s="68" t="s">
        <v>17</v>
      </c>
      <c r="AC7" s="68" t="s">
        <v>11</v>
      </c>
    </row>
    <row r="8" spans="1:102" s="5" customFormat="1" ht="14.5" customHeight="1" x14ac:dyDescent="0.35">
      <c r="A8"/>
      <c r="B8"/>
      <c r="C8"/>
      <c r="D8" s="103" t="s">
        <v>110</v>
      </c>
      <c r="E8" s="104"/>
      <c r="F8" s="104"/>
      <c r="G8" s="104"/>
      <c r="H8" s="104"/>
      <c r="I8" s="104"/>
      <c r="J8" s="104"/>
      <c r="K8" s="104"/>
      <c r="L8" s="104"/>
      <c r="M8" s="104"/>
      <c r="N8" s="104"/>
      <c r="O8"/>
      <c r="P8" s="103" t="s">
        <v>74</v>
      </c>
      <c r="Q8" s="104"/>
      <c r="R8" s="104"/>
      <c r="S8" s="104"/>
      <c r="T8" s="104"/>
      <c r="U8" s="104"/>
      <c r="V8" s="104"/>
      <c r="W8" s="104"/>
      <c r="X8" s="104"/>
      <c r="Z8" s="67" t="str">
        <f t="shared" ref="Z8:Z15" si="0">C11</f>
        <v>I_Links Hallux</v>
      </c>
      <c r="AA8" s="67" t="str">
        <f t="shared" ref="AA8:AA15" si="1">E11</f>
        <v/>
      </c>
      <c r="AB8" s="67" t="str">
        <f t="shared" ref="AB8:AB15" si="2">G11</f>
        <v/>
      </c>
      <c r="AC8" s="67">
        <f t="shared" ref="AC8:AC15" si="3">$AC$5</f>
        <v>200</v>
      </c>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row>
    <row r="9" spans="1:102" s="5" customFormat="1" ht="24" x14ac:dyDescent="0.35">
      <c r="A9" s="93" t="s">
        <v>0</v>
      </c>
      <c r="B9" s="94"/>
      <c r="C9" s="34"/>
      <c r="D9" s="35"/>
      <c r="E9" s="60" t="s">
        <v>16</v>
      </c>
      <c r="F9" s="61" t="s">
        <v>6</v>
      </c>
      <c r="G9" s="88" t="s">
        <v>17</v>
      </c>
      <c r="H9" s="89"/>
      <c r="I9" s="88" t="s">
        <v>18</v>
      </c>
      <c r="J9" s="89"/>
      <c r="K9" s="88" t="s">
        <v>19</v>
      </c>
      <c r="L9" s="89"/>
      <c r="M9" s="88" t="s">
        <v>107</v>
      </c>
      <c r="N9" s="89"/>
      <c r="O9" s="62"/>
      <c r="P9" s="59" t="s">
        <v>108</v>
      </c>
      <c r="Q9" s="88" t="s">
        <v>17</v>
      </c>
      <c r="R9" s="89"/>
      <c r="S9" s="88" t="s">
        <v>18</v>
      </c>
      <c r="T9" s="89"/>
      <c r="U9" s="88" t="s">
        <v>19</v>
      </c>
      <c r="V9" s="89"/>
      <c r="W9" s="88" t="s">
        <v>107</v>
      </c>
      <c r="X9" s="89"/>
      <c r="Z9" s="67" t="str">
        <f t="shared" si="0"/>
        <v>J_Links Tenen 2-5</v>
      </c>
      <c r="AA9" s="67" t="str">
        <f t="shared" si="1"/>
        <v/>
      </c>
      <c r="AB9" s="67" t="str">
        <f t="shared" si="2"/>
        <v/>
      </c>
      <c r="AC9" s="67">
        <f t="shared" si="3"/>
        <v>200</v>
      </c>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row>
    <row r="10" spans="1:102" s="5" customFormat="1" ht="60" x14ac:dyDescent="0.35">
      <c r="A10" s="95"/>
      <c r="B10" s="96"/>
      <c r="C10" s="34"/>
      <c r="D10" s="35"/>
      <c r="E10" s="36" t="s">
        <v>1</v>
      </c>
      <c r="F10" s="36" t="s">
        <v>93</v>
      </c>
      <c r="G10" s="36" t="s">
        <v>1</v>
      </c>
      <c r="H10" s="36" t="s">
        <v>15</v>
      </c>
      <c r="I10" s="36" t="s">
        <v>1</v>
      </c>
      <c r="J10" s="36" t="s">
        <v>15</v>
      </c>
      <c r="K10" s="36" t="s">
        <v>1</v>
      </c>
      <c r="L10" s="36" t="s">
        <v>15</v>
      </c>
      <c r="M10" s="36" t="s">
        <v>1</v>
      </c>
      <c r="N10" s="36" t="s">
        <v>15</v>
      </c>
      <c r="O10" s="62"/>
      <c r="P10" s="36" t="s">
        <v>1</v>
      </c>
      <c r="Q10" s="36" t="s">
        <v>1</v>
      </c>
      <c r="R10" s="36" t="s">
        <v>109</v>
      </c>
      <c r="S10" s="36" t="s">
        <v>1</v>
      </c>
      <c r="T10" s="36" t="s">
        <v>109</v>
      </c>
      <c r="U10" s="36" t="s">
        <v>1</v>
      </c>
      <c r="V10" s="36" t="s">
        <v>109</v>
      </c>
      <c r="W10" s="36" t="s">
        <v>1</v>
      </c>
      <c r="X10" s="36" t="s">
        <v>109</v>
      </c>
      <c r="Z10" s="67" t="str">
        <f t="shared" si="0"/>
        <v>K_Links Metatarsaal 1</v>
      </c>
      <c r="AA10" s="67" t="str">
        <f t="shared" si="1"/>
        <v/>
      </c>
      <c r="AB10" s="67" t="str">
        <f t="shared" si="2"/>
        <v/>
      </c>
      <c r="AC10" s="67">
        <f t="shared" si="3"/>
        <v>200</v>
      </c>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row>
    <row r="11" spans="1:102" s="5" customFormat="1" ht="22" customHeight="1" x14ac:dyDescent="0.35">
      <c r="A11" s="95"/>
      <c r="B11" s="96"/>
      <c r="C11" s="83" t="s">
        <v>77</v>
      </c>
      <c r="D11" s="37"/>
      <c r="E11" s="38" t="str">
        <f t="shared" ref="E11:E18" si="4">IF(J57="","",J57)</f>
        <v/>
      </c>
      <c r="F11" s="39" t="str">
        <f t="shared" ref="F11:F17" si="5">IF($C$20=C11,"TARGET",IF(E11="","",IF(AND(E11&gt;200,RANK(E11,$E$11:$E$17)&lt;=2),"TARGET","")))</f>
        <v/>
      </c>
      <c r="G11" s="40" t="str">
        <f t="shared" ref="G11:G18" si="6">IF(J78="","",J78)</f>
        <v/>
      </c>
      <c r="H11" s="43" t="str">
        <f t="shared" ref="H11:H18" si="7">IF(OR($E11="",G11=""),"",((G11-$E11)/$E11)*100)</f>
        <v/>
      </c>
      <c r="I11" s="40"/>
      <c r="J11" s="43" t="str">
        <f t="shared" ref="J11:J18" si="8">IF(OR($E11="",I11=""),"",((I11-$E11)/$E11)*100)</f>
        <v/>
      </c>
      <c r="K11" s="40"/>
      <c r="L11" s="43" t="str">
        <f t="shared" ref="L11:L18" si="9">IF(OR($E11="",K11=""),"",((K11-$E11)/$E11)*100)</f>
        <v/>
      </c>
      <c r="M11" s="40"/>
      <c r="N11" s="43" t="str">
        <f t="shared" ref="N11:N18" si="10">IF(OR($E11="",M11=""),"",((M11-$E11)/$E11)*100)</f>
        <v/>
      </c>
      <c r="O11" s="33"/>
      <c r="P11" s="40"/>
      <c r="Q11" s="40"/>
      <c r="R11" s="43" t="str">
        <f t="shared" ref="R11:R18" si="11">IF(OR($P11="",Q11=""),"",((Q11-$P11)/$P11)*100)</f>
        <v/>
      </c>
      <c r="S11" s="40"/>
      <c r="T11" s="43" t="str">
        <f t="shared" ref="T11:T18" si="12">IF(OR($P11="",S11=""),"",((S11-$P11)/$P11)*100)</f>
        <v/>
      </c>
      <c r="U11" s="40"/>
      <c r="V11" s="43" t="str">
        <f t="shared" ref="V11:V18" si="13">IF(OR($P11="",U11=""),"",((U11-$P11)/$P11)*100)</f>
        <v/>
      </c>
      <c r="W11" s="40"/>
      <c r="X11" s="43" t="str">
        <f t="shared" ref="X11:X18" si="14">IF(OR($P11="",W11=""),"",((W11-$P11)/$P11)*100)</f>
        <v/>
      </c>
      <c r="Z11" s="67" t="str">
        <f t="shared" si="0"/>
        <v>L_Links Metatarsaal 2-3</v>
      </c>
      <c r="AA11" s="67" t="str">
        <f t="shared" si="1"/>
        <v/>
      </c>
      <c r="AB11" s="67" t="str">
        <f t="shared" si="2"/>
        <v/>
      </c>
      <c r="AC11" s="67">
        <f t="shared" si="3"/>
        <v>200</v>
      </c>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row>
    <row r="12" spans="1:102" s="5" customFormat="1" ht="22" customHeight="1" x14ac:dyDescent="0.35">
      <c r="A12" s="95"/>
      <c r="B12" s="96"/>
      <c r="C12" s="83" t="s">
        <v>78</v>
      </c>
      <c r="D12" s="37"/>
      <c r="E12" s="38" t="str">
        <f t="shared" si="4"/>
        <v/>
      </c>
      <c r="F12" s="39" t="str">
        <f t="shared" si="5"/>
        <v/>
      </c>
      <c r="G12" s="40" t="str">
        <f t="shared" si="6"/>
        <v/>
      </c>
      <c r="H12" s="43" t="str">
        <f t="shared" si="7"/>
        <v/>
      </c>
      <c r="I12" s="40"/>
      <c r="J12" s="43" t="str">
        <f t="shared" si="8"/>
        <v/>
      </c>
      <c r="K12" s="40"/>
      <c r="L12" s="43" t="str">
        <f t="shared" si="9"/>
        <v/>
      </c>
      <c r="M12" s="40"/>
      <c r="N12" s="43" t="str">
        <f t="shared" si="10"/>
        <v/>
      </c>
      <c r="O12" s="33"/>
      <c r="P12" s="40"/>
      <c r="Q12" s="40"/>
      <c r="R12" s="43" t="str">
        <f t="shared" si="11"/>
        <v/>
      </c>
      <c r="S12" s="40"/>
      <c r="T12" s="43" t="str">
        <f t="shared" si="12"/>
        <v/>
      </c>
      <c r="U12" s="40"/>
      <c r="V12" s="43" t="str">
        <f t="shared" si="13"/>
        <v/>
      </c>
      <c r="W12" s="40"/>
      <c r="X12" s="43" t="str">
        <f t="shared" si="14"/>
        <v/>
      </c>
      <c r="Z12" s="67" t="str">
        <f t="shared" si="0"/>
        <v>M_Links Metatarsaal 4-5</v>
      </c>
      <c r="AA12" s="67" t="str">
        <f t="shared" si="1"/>
        <v/>
      </c>
      <c r="AB12" s="67" t="str">
        <f t="shared" si="2"/>
        <v/>
      </c>
      <c r="AC12" s="67">
        <f t="shared" si="3"/>
        <v>200</v>
      </c>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row>
    <row r="13" spans="1:102" s="5" customFormat="1" ht="22" customHeight="1" x14ac:dyDescent="0.35">
      <c r="A13" s="95"/>
      <c r="B13" s="96"/>
      <c r="C13" s="83" t="s">
        <v>79</v>
      </c>
      <c r="D13" s="37"/>
      <c r="E13" s="38" t="str">
        <f t="shared" si="4"/>
        <v/>
      </c>
      <c r="F13" s="39" t="str">
        <f t="shared" si="5"/>
        <v/>
      </c>
      <c r="G13" s="40" t="str">
        <f t="shared" si="6"/>
        <v/>
      </c>
      <c r="H13" s="43" t="str">
        <f t="shared" si="7"/>
        <v/>
      </c>
      <c r="I13" s="40"/>
      <c r="J13" s="43" t="str">
        <f t="shared" si="8"/>
        <v/>
      </c>
      <c r="K13" s="40"/>
      <c r="L13" s="43" t="str">
        <f t="shared" si="9"/>
        <v/>
      </c>
      <c r="M13" s="40"/>
      <c r="N13" s="43" t="str">
        <f t="shared" si="10"/>
        <v/>
      </c>
      <c r="O13" s="33"/>
      <c r="P13" s="40"/>
      <c r="Q13" s="40"/>
      <c r="R13" s="43" t="str">
        <f t="shared" si="11"/>
        <v/>
      </c>
      <c r="S13" s="40"/>
      <c r="T13" s="43" t="str">
        <f t="shared" si="12"/>
        <v/>
      </c>
      <c r="U13" s="40"/>
      <c r="V13" s="43" t="str">
        <f t="shared" si="13"/>
        <v/>
      </c>
      <c r="W13" s="40"/>
      <c r="X13" s="43" t="str">
        <f t="shared" si="14"/>
        <v/>
      </c>
      <c r="Z13" s="67" t="str">
        <f t="shared" si="0"/>
        <v>N_Links Mediale middenvoet</v>
      </c>
      <c r="AA13" s="67" t="str">
        <f t="shared" si="1"/>
        <v/>
      </c>
      <c r="AB13" s="67" t="str">
        <f t="shared" si="2"/>
        <v/>
      </c>
      <c r="AC13" s="67">
        <f t="shared" si="3"/>
        <v>200</v>
      </c>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row>
    <row r="14" spans="1:102" s="5" customFormat="1" ht="22" customHeight="1" x14ac:dyDescent="0.35">
      <c r="A14" s="95"/>
      <c r="B14" s="96"/>
      <c r="C14" s="83" t="s">
        <v>80</v>
      </c>
      <c r="D14" s="37"/>
      <c r="E14" s="38" t="str">
        <f t="shared" si="4"/>
        <v/>
      </c>
      <c r="F14" s="39" t="str">
        <f t="shared" si="5"/>
        <v/>
      </c>
      <c r="G14" s="40" t="str">
        <f t="shared" si="6"/>
        <v/>
      </c>
      <c r="H14" s="43" t="str">
        <f t="shared" si="7"/>
        <v/>
      </c>
      <c r="I14" s="40"/>
      <c r="J14" s="43" t="str">
        <f t="shared" si="8"/>
        <v/>
      </c>
      <c r="K14" s="40"/>
      <c r="L14" s="43" t="str">
        <f t="shared" si="9"/>
        <v/>
      </c>
      <c r="M14" s="40"/>
      <c r="N14" s="43" t="str">
        <f t="shared" si="10"/>
        <v/>
      </c>
      <c r="O14" s="33"/>
      <c r="P14" s="40"/>
      <c r="Q14" s="40"/>
      <c r="R14" s="43" t="str">
        <f t="shared" si="11"/>
        <v/>
      </c>
      <c r="S14" s="40"/>
      <c r="T14" s="43" t="str">
        <f t="shared" si="12"/>
        <v/>
      </c>
      <c r="U14" s="40"/>
      <c r="V14" s="43" t="str">
        <f t="shared" si="13"/>
        <v/>
      </c>
      <c r="W14" s="40"/>
      <c r="X14" s="43" t="str">
        <f t="shared" si="14"/>
        <v/>
      </c>
      <c r="Z14" s="67" t="str">
        <f t="shared" si="0"/>
        <v>O_Links Laterale middenvoet</v>
      </c>
      <c r="AA14" s="67" t="str">
        <f t="shared" si="1"/>
        <v/>
      </c>
      <c r="AB14" s="67" t="str">
        <f t="shared" si="2"/>
        <v/>
      </c>
      <c r="AC14" s="67">
        <f t="shared" si="3"/>
        <v>200</v>
      </c>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row>
    <row r="15" spans="1:102" s="5" customFormat="1" ht="22" customHeight="1" x14ac:dyDescent="0.35">
      <c r="A15" s="95"/>
      <c r="B15" s="96"/>
      <c r="C15" s="83" t="s">
        <v>81</v>
      </c>
      <c r="D15" s="37"/>
      <c r="E15" s="38" t="str">
        <f t="shared" si="4"/>
        <v/>
      </c>
      <c r="F15" s="39" t="str">
        <f t="shared" si="5"/>
        <v/>
      </c>
      <c r="G15" s="40" t="str">
        <f t="shared" si="6"/>
        <v/>
      </c>
      <c r="H15" s="43" t="str">
        <f t="shared" si="7"/>
        <v/>
      </c>
      <c r="I15" s="40"/>
      <c r="J15" s="43" t="str">
        <f t="shared" si="8"/>
        <v/>
      </c>
      <c r="K15" s="40"/>
      <c r="L15" s="43" t="str">
        <f t="shared" si="9"/>
        <v/>
      </c>
      <c r="M15" s="40"/>
      <c r="N15" s="43" t="str">
        <f t="shared" si="10"/>
        <v/>
      </c>
      <c r="O15" s="33"/>
      <c r="P15" s="40"/>
      <c r="Q15" s="40"/>
      <c r="R15" s="43" t="str">
        <f t="shared" si="11"/>
        <v/>
      </c>
      <c r="S15" s="40"/>
      <c r="T15" s="43" t="str">
        <f t="shared" si="12"/>
        <v/>
      </c>
      <c r="U15" s="40"/>
      <c r="V15" s="43" t="str">
        <f t="shared" si="13"/>
        <v/>
      </c>
      <c r="W15" s="40"/>
      <c r="X15" s="43" t="str">
        <f t="shared" si="14"/>
        <v/>
      </c>
      <c r="Z15" s="67" t="str">
        <f t="shared" si="0"/>
        <v>P_Links Hiel</v>
      </c>
      <c r="AA15" s="67" t="str">
        <f t="shared" si="1"/>
        <v/>
      </c>
      <c r="AB15" s="67" t="str">
        <f t="shared" si="2"/>
        <v/>
      </c>
      <c r="AC15" s="67">
        <f t="shared" si="3"/>
        <v>200</v>
      </c>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row>
    <row r="16" spans="1:102" s="5" customFormat="1" ht="22" customHeight="1" x14ac:dyDescent="0.35">
      <c r="A16" s="95"/>
      <c r="B16" s="96"/>
      <c r="C16" s="83" t="s">
        <v>82</v>
      </c>
      <c r="D16" s="37"/>
      <c r="E16" s="41" t="str">
        <f t="shared" si="4"/>
        <v/>
      </c>
      <c r="F16" s="39" t="str">
        <f t="shared" si="5"/>
        <v/>
      </c>
      <c r="G16" s="40" t="str">
        <f t="shared" si="6"/>
        <v/>
      </c>
      <c r="H16" s="43" t="str">
        <f t="shared" si="7"/>
        <v/>
      </c>
      <c r="I16" s="40"/>
      <c r="J16" s="43" t="str">
        <f t="shared" si="8"/>
        <v/>
      </c>
      <c r="K16" s="40"/>
      <c r="L16" s="43" t="str">
        <f t="shared" si="9"/>
        <v/>
      </c>
      <c r="M16" s="40"/>
      <c r="N16" s="43" t="str">
        <f t="shared" si="10"/>
        <v/>
      </c>
      <c r="O16" s="33"/>
      <c r="P16" s="40"/>
      <c r="Q16" s="40"/>
      <c r="R16" s="43" t="str">
        <f t="shared" si="11"/>
        <v/>
      </c>
      <c r="S16" s="40"/>
      <c r="T16" s="43" t="str">
        <f t="shared" si="12"/>
        <v/>
      </c>
      <c r="U16" s="40"/>
      <c r="V16" s="43" t="str">
        <f t="shared" si="13"/>
        <v/>
      </c>
      <c r="W16" s="40"/>
      <c r="X16" s="43" t="str">
        <f t="shared" si="14"/>
        <v/>
      </c>
      <c r="Z16" s="67"/>
      <c r="AA16" s="67"/>
      <c r="AB16" s="67"/>
      <c r="AC16" s="6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row>
    <row r="17" spans="1:102" s="5" customFormat="1" ht="22" customHeight="1" x14ac:dyDescent="0.35">
      <c r="A17" s="95"/>
      <c r="B17" s="96"/>
      <c r="C17" s="83" t="s">
        <v>83</v>
      </c>
      <c r="D17" s="37"/>
      <c r="E17" s="41" t="str">
        <f t="shared" si="4"/>
        <v/>
      </c>
      <c r="F17" s="39" t="str">
        <f t="shared" si="5"/>
        <v/>
      </c>
      <c r="G17" s="40" t="str">
        <f t="shared" si="6"/>
        <v/>
      </c>
      <c r="H17" s="43" t="str">
        <f t="shared" si="7"/>
        <v/>
      </c>
      <c r="I17" s="40"/>
      <c r="J17" s="43" t="str">
        <f t="shared" si="8"/>
        <v/>
      </c>
      <c r="K17" s="40"/>
      <c r="L17" s="43" t="str">
        <f t="shared" si="9"/>
        <v/>
      </c>
      <c r="M17" s="40"/>
      <c r="N17" s="43" t="str">
        <f t="shared" si="10"/>
        <v/>
      </c>
      <c r="O17" s="33"/>
      <c r="P17" s="40"/>
      <c r="Q17" s="40"/>
      <c r="R17" s="43" t="str">
        <f t="shared" si="11"/>
        <v/>
      </c>
      <c r="S17" s="40"/>
      <c r="T17" s="43" t="str">
        <f t="shared" si="12"/>
        <v/>
      </c>
      <c r="U17" s="40"/>
      <c r="V17" s="43" t="str">
        <f t="shared" si="13"/>
        <v/>
      </c>
      <c r="W17" s="40"/>
      <c r="X17" s="43" t="str">
        <f t="shared" si="14"/>
        <v/>
      </c>
      <c r="Z17" s="67"/>
      <c r="AA17" s="67"/>
      <c r="AB17" s="67"/>
      <c r="AC17" s="6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row>
    <row r="18" spans="1:102" s="5" customFormat="1" ht="22" customHeight="1" x14ac:dyDescent="0.35">
      <c r="A18" s="97"/>
      <c r="B18" s="98"/>
      <c r="C18" s="83" t="s">
        <v>84</v>
      </c>
      <c r="D18" s="37"/>
      <c r="E18" s="41" t="str">
        <f t="shared" si="4"/>
        <v/>
      </c>
      <c r="F18" s="39" t="str">
        <f>IF($C$20=C18,"TARGET","")</f>
        <v/>
      </c>
      <c r="G18" s="40" t="str">
        <f t="shared" si="6"/>
        <v/>
      </c>
      <c r="H18" s="43" t="str">
        <f t="shared" si="7"/>
        <v/>
      </c>
      <c r="I18" s="40"/>
      <c r="J18" s="43" t="str">
        <f t="shared" si="8"/>
        <v/>
      </c>
      <c r="K18" s="40"/>
      <c r="L18" s="43" t="str">
        <f t="shared" si="9"/>
        <v/>
      </c>
      <c r="M18" s="40"/>
      <c r="N18" s="43" t="str">
        <f t="shared" si="10"/>
        <v/>
      </c>
      <c r="O18" s="33"/>
      <c r="P18" s="40"/>
      <c r="Q18" s="40"/>
      <c r="R18" s="43" t="str">
        <f t="shared" si="11"/>
        <v/>
      </c>
      <c r="S18" s="40"/>
      <c r="T18" s="43" t="str">
        <f t="shared" si="12"/>
        <v/>
      </c>
      <c r="U18" s="40"/>
      <c r="V18" s="43" t="str">
        <f t="shared" si="13"/>
        <v/>
      </c>
      <c r="W18" s="40"/>
      <c r="X18" s="43" t="str">
        <f t="shared" si="14"/>
        <v/>
      </c>
      <c r="Z18" s="68" t="s">
        <v>12</v>
      </c>
      <c r="AA18" s="67"/>
      <c r="AB18" s="67"/>
      <c r="AC18" s="6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row>
    <row r="19" spans="1:102" s="6" customFormat="1" x14ac:dyDescent="0.35">
      <c r="A19" s="21"/>
      <c r="B19" s="21"/>
      <c r="C19" s="48"/>
      <c r="D19" s="22"/>
      <c r="E19" s="23"/>
      <c r="F19" s="23"/>
      <c r="G19" s="24"/>
      <c r="H19" s="25"/>
      <c r="I19" s="26"/>
      <c r="J19" s="26"/>
      <c r="K19" s="26"/>
      <c r="L19" s="25"/>
      <c r="M19" s="102"/>
      <c r="N19" s="102"/>
      <c r="O19" s="27"/>
      <c r="P19" s="27"/>
      <c r="Q19" s="27"/>
      <c r="R19" s="27"/>
      <c r="S19" s="27"/>
      <c r="T19" s="27"/>
      <c r="U19" s="27"/>
      <c r="V19" s="42"/>
      <c r="W19" s="102"/>
      <c r="X19" s="102"/>
      <c r="Z19" s="68" t="s">
        <v>10</v>
      </c>
      <c r="AA19" s="68" t="s">
        <v>16</v>
      </c>
      <c r="AB19" s="68" t="s">
        <v>17</v>
      </c>
      <c r="AC19" s="68" t="s">
        <v>11</v>
      </c>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row>
    <row r="20" spans="1:102" s="5" customFormat="1" ht="29.5" customHeight="1" x14ac:dyDescent="0.35">
      <c r="A20" s="99" t="s">
        <v>75</v>
      </c>
      <c r="B20" s="100"/>
      <c r="C20" s="106"/>
      <c r="D20" s="107"/>
      <c r="E20" s="107"/>
      <c r="F20" s="107"/>
      <c r="G20" s="107"/>
      <c r="H20" s="107"/>
      <c r="I20" s="107"/>
      <c r="J20" s="107"/>
      <c r="K20" s="107"/>
      <c r="L20" s="107"/>
      <c r="M20" s="107"/>
      <c r="N20" s="107"/>
      <c r="O20" s="107"/>
      <c r="P20" s="107"/>
      <c r="Q20" s="107"/>
      <c r="R20" s="107"/>
      <c r="S20" s="107"/>
      <c r="T20" s="107"/>
      <c r="U20" s="107"/>
      <c r="V20" s="107"/>
      <c r="W20" s="107"/>
      <c r="X20" s="107"/>
      <c r="Z20" s="67" t="str">
        <f t="shared" ref="Z20:Z27" si="15">C27</f>
        <v>A_Rechts Hallux</v>
      </c>
      <c r="AA20" s="67" t="str">
        <f t="shared" ref="AA20:AA27" si="16">E27</f>
        <v/>
      </c>
      <c r="AB20" s="67" t="str">
        <f t="shared" ref="AB20:AB27" si="17">G27</f>
        <v/>
      </c>
      <c r="AC20" s="67">
        <f t="shared" ref="AC20:AC27" si="18">$AC$5</f>
        <v>200</v>
      </c>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row>
    <row r="21" spans="1:102" s="5" customFormat="1" x14ac:dyDescent="0.35">
      <c r="A21" s="19"/>
      <c r="B21" s="19"/>
      <c r="C21" s="28"/>
      <c r="D21" s="28"/>
      <c r="E21" s="29"/>
      <c r="F21" s="29"/>
      <c r="G21" s="20"/>
      <c r="H21" s="30"/>
      <c r="I21" s="31"/>
      <c r="J21" s="31"/>
      <c r="K21" s="31"/>
      <c r="L21" s="30"/>
      <c r="M21" s="30"/>
      <c r="N21" s="30"/>
      <c r="O21" s="30"/>
      <c r="P21" s="30"/>
      <c r="Q21" s="30"/>
      <c r="R21" s="30"/>
      <c r="S21" s="30"/>
      <c r="T21" s="30"/>
      <c r="U21" s="30"/>
      <c r="V21" s="32"/>
      <c r="W21" s="105"/>
      <c r="X21" s="105"/>
      <c r="Z21" s="67" t="str">
        <f t="shared" si="15"/>
        <v>B_Rechts Tenen 2-5</v>
      </c>
      <c r="AA21" s="67" t="str">
        <f t="shared" si="16"/>
        <v/>
      </c>
      <c r="AB21" s="67" t="str">
        <f t="shared" si="17"/>
        <v/>
      </c>
      <c r="AC21" s="67">
        <f t="shared" si="18"/>
        <v>200</v>
      </c>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row>
    <row r="22" spans="1:102" s="10" customFormat="1" x14ac:dyDescent="0.35">
      <c r="A22"/>
      <c r="B22"/>
      <c r="C22"/>
      <c r="D22"/>
      <c r="E22"/>
      <c r="F22"/>
      <c r="G22" s="4"/>
      <c r="H22"/>
      <c r="I22" s="2"/>
      <c r="J22" s="2"/>
      <c r="K22" s="2"/>
      <c r="L22"/>
      <c r="M22"/>
      <c r="N22"/>
      <c r="O22"/>
      <c r="P22"/>
      <c r="Q22"/>
      <c r="R22"/>
      <c r="S22"/>
      <c r="T22"/>
      <c r="U22"/>
      <c r="V22"/>
      <c r="W22"/>
      <c r="X22"/>
      <c r="Z22" s="67" t="str">
        <f t="shared" si="15"/>
        <v>C_Rechts Metatarsaal 1</v>
      </c>
      <c r="AA22" s="67" t="str">
        <f t="shared" si="16"/>
        <v/>
      </c>
      <c r="AB22" s="67" t="str">
        <f t="shared" si="17"/>
        <v/>
      </c>
      <c r="AC22" s="67">
        <f t="shared" si="18"/>
        <v>200</v>
      </c>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row>
    <row r="23" spans="1:102" s="10" customFormat="1" x14ac:dyDescent="0.35">
      <c r="A23"/>
      <c r="B23"/>
      <c r="C23"/>
      <c r="D23"/>
      <c r="E23"/>
      <c r="F23"/>
      <c r="G23" s="4"/>
      <c r="H23"/>
      <c r="I23" s="2"/>
      <c r="J23" s="2"/>
      <c r="K23" s="2"/>
      <c r="L23"/>
      <c r="M23"/>
      <c r="N23"/>
      <c r="O23"/>
      <c r="P23"/>
      <c r="Q23"/>
      <c r="R23"/>
      <c r="S23"/>
      <c r="T23"/>
      <c r="U23"/>
      <c r="V23"/>
      <c r="W23"/>
      <c r="X23"/>
      <c r="Z23" s="67" t="str">
        <f t="shared" si="15"/>
        <v>D_Rechts Metatarsaal 2-3</v>
      </c>
      <c r="AA23" s="67" t="str">
        <f t="shared" si="16"/>
        <v/>
      </c>
      <c r="AB23" s="67" t="str">
        <f t="shared" si="17"/>
        <v/>
      </c>
      <c r="AC23" s="67">
        <f t="shared" si="18"/>
        <v>200</v>
      </c>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row>
    <row r="24" spans="1:102" s="5" customFormat="1" ht="14.5" customHeight="1" x14ac:dyDescent="0.35">
      <c r="A24"/>
      <c r="B24"/>
      <c r="C24"/>
      <c r="D24" s="103" t="s">
        <v>110</v>
      </c>
      <c r="E24" s="104"/>
      <c r="F24" s="104"/>
      <c r="G24" s="104"/>
      <c r="H24" s="104"/>
      <c r="I24" s="104"/>
      <c r="J24" s="104"/>
      <c r="K24" s="104"/>
      <c r="L24" s="104"/>
      <c r="M24" s="104"/>
      <c r="N24" s="104"/>
      <c r="O24"/>
      <c r="P24" s="103" t="s">
        <v>74</v>
      </c>
      <c r="Q24" s="104"/>
      <c r="R24" s="104"/>
      <c r="S24" s="104"/>
      <c r="T24" s="104"/>
      <c r="U24" s="104"/>
      <c r="V24" s="104"/>
      <c r="W24" s="104"/>
      <c r="X24" s="104"/>
      <c r="Z24" s="67" t="str">
        <f t="shared" si="15"/>
        <v>E_Rechts Metatarsaal 4-5</v>
      </c>
      <c r="AA24" s="67" t="str">
        <f t="shared" si="16"/>
        <v/>
      </c>
      <c r="AB24" s="67" t="str">
        <f t="shared" si="17"/>
        <v/>
      </c>
      <c r="AC24" s="67">
        <f t="shared" si="18"/>
        <v>200</v>
      </c>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row>
    <row r="25" spans="1:102" s="5" customFormat="1" ht="24" customHeight="1" x14ac:dyDescent="0.35">
      <c r="A25" s="93" t="s">
        <v>2</v>
      </c>
      <c r="B25" s="94"/>
      <c r="C25" s="34"/>
      <c r="D25" s="35"/>
      <c r="E25" s="60" t="s">
        <v>16</v>
      </c>
      <c r="F25" s="61" t="s">
        <v>6</v>
      </c>
      <c r="G25" s="88" t="s">
        <v>17</v>
      </c>
      <c r="H25" s="89"/>
      <c r="I25" s="88" t="s">
        <v>18</v>
      </c>
      <c r="J25" s="89"/>
      <c r="K25" s="88" t="s">
        <v>19</v>
      </c>
      <c r="L25" s="89"/>
      <c r="M25" s="88" t="s">
        <v>107</v>
      </c>
      <c r="N25" s="89"/>
      <c r="O25" s="62"/>
      <c r="P25" s="59" t="s">
        <v>108</v>
      </c>
      <c r="Q25" s="88" t="s">
        <v>17</v>
      </c>
      <c r="R25" s="89"/>
      <c r="S25" s="88" t="s">
        <v>18</v>
      </c>
      <c r="T25" s="89"/>
      <c r="U25" s="88" t="s">
        <v>19</v>
      </c>
      <c r="V25" s="89"/>
      <c r="W25" s="88" t="s">
        <v>107</v>
      </c>
      <c r="X25" s="89"/>
      <c r="Z25" s="67" t="str">
        <f t="shared" si="15"/>
        <v>F_Rechts Mediale middenvoet</v>
      </c>
      <c r="AA25" s="67" t="str">
        <f t="shared" si="16"/>
        <v/>
      </c>
      <c r="AB25" s="67" t="str">
        <f t="shared" si="17"/>
        <v/>
      </c>
      <c r="AC25" s="67">
        <f t="shared" si="18"/>
        <v>200</v>
      </c>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row>
    <row r="26" spans="1:102" s="5" customFormat="1" ht="48" customHeight="1" x14ac:dyDescent="0.35">
      <c r="A26" s="95"/>
      <c r="B26" s="96"/>
      <c r="C26" s="34"/>
      <c r="D26" s="35"/>
      <c r="E26" s="36" t="s">
        <v>1</v>
      </c>
      <c r="F26" s="36" t="s">
        <v>93</v>
      </c>
      <c r="G26" s="36" t="s">
        <v>1</v>
      </c>
      <c r="H26" s="36" t="s">
        <v>15</v>
      </c>
      <c r="I26" s="36" t="s">
        <v>1</v>
      </c>
      <c r="J26" s="36" t="s">
        <v>15</v>
      </c>
      <c r="K26" s="36" t="s">
        <v>1</v>
      </c>
      <c r="L26" s="36" t="s">
        <v>15</v>
      </c>
      <c r="M26" s="36" t="s">
        <v>1</v>
      </c>
      <c r="N26" s="36" t="s">
        <v>15</v>
      </c>
      <c r="O26" s="62"/>
      <c r="P26" s="36" t="s">
        <v>1</v>
      </c>
      <c r="Q26" s="36" t="s">
        <v>1</v>
      </c>
      <c r="R26" s="36" t="s">
        <v>109</v>
      </c>
      <c r="S26" s="36" t="s">
        <v>1</v>
      </c>
      <c r="T26" s="36" t="s">
        <v>109</v>
      </c>
      <c r="U26" s="36" t="s">
        <v>1</v>
      </c>
      <c r="V26" s="36" t="s">
        <v>109</v>
      </c>
      <c r="W26" s="36" t="s">
        <v>1</v>
      </c>
      <c r="X26" s="36" t="s">
        <v>109</v>
      </c>
      <c r="Z26" s="7" t="str">
        <f t="shared" si="15"/>
        <v>G_Rechts Laterale middenvoet</v>
      </c>
      <c r="AA26" s="7" t="str">
        <f t="shared" si="16"/>
        <v/>
      </c>
      <c r="AB26" s="7" t="str">
        <f t="shared" si="17"/>
        <v/>
      </c>
      <c r="AC26" s="7">
        <f t="shared" si="18"/>
        <v>200</v>
      </c>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row>
    <row r="27" spans="1:102" s="5" customFormat="1" ht="22" customHeight="1" x14ac:dyDescent="0.35">
      <c r="A27" s="95"/>
      <c r="B27" s="96"/>
      <c r="C27" s="83" t="s">
        <v>85</v>
      </c>
      <c r="D27" s="37"/>
      <c r="E27" s="38" t="str">
        <f t="shared" ref="E27:E34" si="19">IF(J47="","",J47)</f>
        <v/>
      </c>
      <c r="F27" s="39" t="str">
        <f t="shared" ref="F27:F33" si="20">IF($C$36=C27,"TARGET",IF(E27="","",IF(AND(E27&gt;200,RANK(E27,$E$27:$E$33)&lt;=2),"TARGET","")))</f>
        <v/>
      </c>
      <c r="G27" s="40" t="str">
        <f t="shared" ref="G27:G34" si="21">IF(J68="","",J68)</f>
        <v/>
      </c>
      <c r="H27" s="43" t="str">
        <f t="shared" ref="H27:H34" si="22">IF(OR($E27="",G27=""),"",((G27-$E27)/$E27)*100)</f>
        <v/>
      </c>
      <c r="I27" s="40"/>
      <c r="J27" s="43" t="str">
        <f t="shared" ref="J27:J34" si="23">IF(OR($E27="",I27=""),"",((I27-$E27)/$E27)*100)</f>
        <v/>
      </c>
      <c r="K27" s="40"/>
      <c r="L27" s="43" t="str">
        <f t="shared" ref="L27:L34" si="24">IF(OR($E27="",K27=""),"",((K27-$E27)/$E27)*100)</f>
        <v/>
      </c>
      <c r="M27" s="40"/>
      <c r="N27" s="43" t="str">
        <f t="shared" ref="N27:N34" si="25">IF(OR($E27="",M27=""),"",((M27-$E27)/$E27)*100)</f>
        <v/>
      </c>
      <c r="O27" s="33"/>
      <c r="P27" s="40"/>
      <c r="Q27" s="40"/>
      <c r="R27" s="43" t="str">
        <f t="shared" ref="R27:R34" si="26">IF(OR($P27="",Q27=""),"",((Q27-$P27)/$P27)*100)</f>
        <v/>
      </c>
      <c r="S27" s="40"/>
      <c r="T27" s="43" t="str">
        <f t="shared" ref="T27:T34" si="27">IF(OR($P27="",S27=""),"",((S27-$P27)/$P27)*100)</f>
        <v/>
      </c>
      <c r="U27" s="40"/>
      <c r="V27" s="43" t="str">
        <f t="shared" ref="V27:V34" si="28">IF(OR($P27="",U27=""),"",((U27-$P27)/$P27)*100)</f>
        <v/>
      </c>
      <c r="W27" s="40"/>
      <c r="X27" s="43" t="str">
        <f t="shared" ref="X27:X34" si="29">IF(OR($P27="",W27=""),"",((W27-$P27)/$P27)*100)</f>
        <v/>
      </c>
      <c r="Z27" s="7" t="str">
        <f t="shared" si="15"/>
        <v>H_Rechts Hiel</v>
      </c>
      <c r="AA27" s="7" t="str">
        <f t="shared" si="16"/>
        <v/>
      </c>
      <c r="AB27" s="7" t="str">
        <f t="shared" si="17"/>
        <v/>
      </c>
      <c r="AC27" s="7">
        <f t="shared" si="18"/>
        <v>200</v>
      </c>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row>
    <row r="28" spans="1:102" s="5" customFormat="1" ht="22" customHeight="1" x14ac:dyDescent="0.35">
      <c r="A28" s="95"/>
      <c r="B28" s="96"/>
      <c r="C28" s="83" t="s">
        <v>86</v>
      </c>
      <c r="D28" s="37"/>
      <c r="E28" s="38" t="str">
        <f t="shared" si="19"/>
        <v/>
      </c>
      <c r="F28" s="39" t="str">
        <f t="shared" si="20"/>
        <v/>
      </c>
      <c r="G28" s="40" t="str">
        <f t="shared" si="21"/>
        <v/>
      </c>
      <c r="H28" s="43" t="str">
        <f t="shared" si="22"/>
        <v/>
      </c>
      <c r="I28" s="40"/>
      <c r="J28" s="43" t="str">
        <f t="shared" si="23"/>
        <v/>
      </c>
      <c r="K28" s="40"/>
      <c r="L28" s="43" t="str">
        <f t="shared" si="24"/>
        <v/>
      </c>
      <c r="M28" s="40"/>
      <c r="N28" s="43" t="str">
        <f t="shared" si="25"/>
        <v/>
      </c>
      <c r="O28" s="33"/>
      <c r="P28" s="40"/>
      <c r="Q28" s="40"/>
      <c r="R28" s="43" t="str">
        <f t="shared" si="26"/>
        <v/>
      </c>
      <c r="S28" s="40"/>
      <c r="T28" s="43" t="str">
        <f t="shared" si="27"/>
        <v/>
      </c>
      <c r="U28" s="40"/>
      <c r="V28" s="43" t="str">
        <f t="shared" si="28"/>
        <v/>
      </c>
      <c r="W28" s="40"/>
      <c r="X28" s="43" t="str">
        <f t="shared" si="29"/>
        <v/>
      </c>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row>
    <row r="29" spans="1:102" s="5" customFormat="1" ht="22" customHeight="1" x14ac:dyDescent="0.35">
      <c r="A29" s="95"/>
      <c r="B29" s="96"/>
      <c r="C29" s="83" t="s">
        <v>87</v>
      </c>
      <c r="D29" s="37"/>
      <c r="E29" s="38" t="str">
        <f t="shared" si="19"/>
        <v/>
      </c>
      <c r="F29" s="39" t="str">
        <f t="shared" si="20"/>
        <v/>
      </c>
      <c r="G29" s="40" t="str">
        <f t="shared" si="21"/>
        <v/>
      </c>
      <c r="H29" s="43" t="str">
        <f t="shared" si="22"/>
        <v/>
      </c>
      <c r="I29" s="40"/>
      <c r="J29" s="43" t="str">
        <f t="shared" si="23"/>
        <v/>
      </c>
      <c r="K29" s="40"/>
      <c r="L29" s="43" t="str">
        <f t="shared" si="24"/>
        <v/>
      </c>
      <c r="M29" s="40"/>
      <c r="N29" s="43" t="str">
        <f t="shared" si="25"/>
        <v/>
      </c>
      <c r="O29" s="33"/>
      <c r="P29" s="40"/>
      <c r="Q29" s="40"/>
      <c r="R29" s="43" t="str">
        <f t="shared" si="26"/>
        <v/>
      </c>
      <c r="S29" s="40"/>
      <c r="T29" s="43" t="str">
        <f t="shared" si="27"/>
        <v/>
      </c>
      <c r="U29" s="40"/>
      <c r="V29" s="43" t="str">
        <f t="shared" si="28"/>
        <v/>
      </c>
      <c r="W29" s="40"/>
      <c r="X29" s="43" t="str">
        <f t="shared" si="29"/>
        <v/>
      </c>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row>
    <row r="30" spans="1:102" s="5" customFormat="1" ht="22" customHeight="1" x14ac:dyDescent="0.35">
      <c r="A30" s="95"/>
      <c r="B30" s="96"/>
      <c r="C30" s="83" t="s">
        <v>88</v>
      </c>
      <c r="D30" s="37"/>
      <c r="E30" s="38" t="str">
        <f t="shared" si="19"/>
        <v/>
      </c>
      <c r="F30" s="39" t="str">
        <f t="shared" si="20"/>
        <v/>
      </c>
      <c r="G30" s="40" t="str">
        <f t="shared" si="21"/>
        <v/>
      </c>
      <c r="H30" s="43" t="str">
        <f t="shared" si="22"/>
        <v/>
      </c>
      <c r="I30" s="40"/>
      <c r="J30" s="43" t="str">
        <f t="shared" si="23"/>
        <v/>
      </c>
      <c r="K30" s="40"/>
      <c r="L30" s="43" t="str">
        <f t="shared" si="24"/>
        <v/>
      </c>
      <c r="M30" s="40"/>
      <c r="N30" s="43" t="str">
        <f t="shared" si="25"/>
        <v/>
      </c>
      <c r="O30" s="33"/>
      <c r="P30" s="40"/>
      <c r="Q30" s="40"/>
      <c r="R30" s="43" t="str">
        <f t="shared" si="26"/>
        <v/>
      </c>
      <c r="S30" s="40"/>
      <c r="T30" s="43" t="str">
        <f t="shared" si="27"/>
        <v/>
      </c>
      <c r="U30" s="40"/>
      <c r="V30" s="43" t="str">
        <f t="shared" si="28"/>
        <v/>
      </c>
      <c r="W30" s="40"/>
      <c r="X30" s="43" t="str">
        <f t="shared" si="29"/>
        <v/>
      </c>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row>
    <row r="31" spans="1:102" s="5" customFormat="1" ht="22" customHeight="1" x14ac:dyDescent="0.35">
      <c r="A31" s="95"/>
      <c r="B31" s="96"/>
      <c r="C31" s="83" t="s">
        <v>89</v>
      </c>
      <c r="D31" s="37"/>
      <c r="E31" s="38" t="str">
        <f t="shared" si="19"/>
        <v/>
      </c>
      <c r="F31" s="39" t="str">
        <f t="shared" si="20"/>
        <v/>
      </c>
      <c r="G31" s="40" t="str">
        <f t="shared" si="21"/>
        <v/>
      </c>
      <c r="H31" s="43" t="str">
        <f t="shared" si="22"/>
        <v/>
      </c>
      <c r="I31" s="40"/>
      <c r="J31" s="43" t="str">
        <f t="shared" si="23"/>
        <v/>
      </c>
      <c r="K31" s="40"/>
      <c r="L31" s="43" t="str">
        <f t="shared" si="24"/>
        <v/>
      </c>
      <c r="M31" s="40"/>
      <c r="N31" s="43" t="str">
        <f t="shared" si="25"/>
        <v/>
      </c>
      <c r="O31" s="33"/>
      <c r="P31" s="40"/>
      <c r="Q31" s="40"/>
      <c r="R31" s="43" t="str">
        <f t="shared" si="26"/>
        <v/>
      </c>
      <c r="S31" s="40"/>
      <c r="T31" s="43" t="str">
        <f t="shared" si="27"/>
        <v/>
      </c>
      <c r="U31" s="40"/>
      <c r="V31" s="43" t="str">
        <f t="shared" si="28"/>
        <v/>
      </c>
      <c r="W31" s="40"/>
      <c r="X31" s="43" t="str">
        <f t="shared" si="29"/>
        <v/>
      </c>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row>
    <row r="32" spans="1:102" s="5" customFormat="1" ht="22" customHeight="1" x14ac:dyDescent="0.35">
      <c r="A32" s="95"/>
      <c r="B32" s="96"/>
      <c r="C32" s="83" t="s">
        <v>90</v>
      </c>
      <c r="D32" s="37"/>
      <c r="E32" s="41" t="str">
        <f t="shared" si="19"/>
        <v/>
      </c>
      <c r="F32" s="39" t="str">
        <f t="shared" si="20"/>
        <v/>
      </c>
      <c r="G32" s="40" t="str">
        <f t="shared" si="21"/>
        <v/>
      </c>
      <c r="H32" s="43" t="str">
        <f t="shared" si="22"/>
        <v/>
      </c>
      <c r="I32" s="40"/>
      <c r="J32" s="43" t="str">
        <f t="shared" si="23"/>
        <v/>
      </c>
      <c r="K32" s="40"/>
      <c r="L32" s="43" t="str">
        <f t="shared" si="24"/>
        <v/>
      </c>
      <c r="M32" s="40"/>
      <c r="N32" s="43" t="str">
        <f t="shared" si="25"/>
        <v/>
      </c>
      <c r="O32" s="33"/>
      <c r="P32" s="40"/>
      <c r="Q32" s="40"/>
      <c r="R32" s="43" t="str">
        <f t="shared" si="26"/>
        <v/>
      </c>
      <c r="S32" s="40"/>
      <c r="T32" s="43" t="str">
        <f t="shared" si="27"/>
        <v/>
      </c>
      <c r="U32" s="40"/>
      <c r="V32" s="43" t="str">
        <f t="shared" si="28"/>
        <v/>
      </c>
      <c r="W32" s="40"/>
      <c r="X32" s="43" t="str">
        <f t="shared" si="29"/>
        <v/>
      </c>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row>
    <row r="33" spans="1:102" s="5" customFormat="1" ht="22" customHeight="1" x14ac:dyDescent="0.35">
      <c r="A33" s="95"/>
      <c r="B33" s="96"/>
      <c r="C33" s="83" t="s">
        <v>91</v>
      </c>
      <c r="D33" s="37"/>
      <c r="E33" s="41" t="str">
        <f t="shared" si="19"/>
        <v/>
      </c>
      <c r="F33" s="39" t="str">
        <f t="shared" si="20"/>
        <v/>
      </c>
      <c r="G33" s="40" t="str">
        <f t="shared" si="21"/>
        <v/>
      </c>
      <c r="H33" s="43" t="str">
        <f t="shared" si="22"/>
        <v/>
      </c>
      <c r="I33" s="40"/>
      <c r="J33" s="43" t="str">
        <f t="shared" si="23"/>
        <v/>
      </c>
      <c r="K33" s="40"/>
      <c r="L33" s="43" t="str">
        <f t="shared" si="24"/>
        <v/>
      </c>
      <c r="M33" s="40"/>
      <c r="N33" s="43" t="str">
        <f t="shared" si="25"/>
        <v/>
      </c>
      <c r="O33" s="33"/>
      <c r="P33" s="40"/>
      <c r="Q33" s="40"/>
      <c r="R33" s="43" t="str">
        <f t="shared" si="26"/>
        <v/>
      </c>
      <c r="S33" s="40"/>
      <c r="T33" s="43" t="str">
        <f t="shared" si="27"/>
        <v/>
      </c>
      <c r="U33" s="40"/>
      <c r="V33" s="43" t="str">
        <f t="shared" si="28"/>
        <v/>
      </c>
      <c r="W33" s="40"/>
      <c r="X33" s="43" t="str">
        <f t="shared" si="29"/>
        <v/>
      </c>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row>
    <row r="34" spans="1:102" s="5" customFormat="1" ht="22" customHeight="1" x14ac:dyDescent="0.35">
      <c r="A34" s="97"/>
      <c r="B34" s="98"/>
      <c r="C34" s="83" t="s">
        <v>92</v>
      </c>
      <c r="D34" s="37"/>
      <c r="E34" s="41" t="str">
        <f t="shared" si="19"/>
        <v/>
      </c>
      <c r="F34" s="39" t="str">
        <f>IF($C$36=C34,"TARGET","")</f>
        <v/>
      </c>
      <c r="G34" s="40" t="str">
        <f t="shared" si="21"/>
        <v/>
      </c>
      <c r="H34" s="43" t="str">
        <f t="shared" si="22"/>
        <v/>
      </c>
      <c r="I34" s="40"/>
      <c r="J34" s="43" t="str">
        <f t="shared" si="23"/>
        <v/>
      </c>
      <c r="K34" s="40"/>
      <c r="L34" s="43" t="str">
        <f t="shared" si="24"/>
        <v/>
      </c>
      <c r="M34" s="40"/>
      <c r="N34" s="43" t="str">
        <f t="shared" si="25"/>
        <v/>
      </c>
      <c r="O34" s="33"/>
      <c r="P34" s="40"/>
      <c r="Q34" s="40"/>
      <c r="R34" s="43" t="str">
        <f t="shared" si="26"/>
        <v/>
      </c>
      <c r="S34" s="40"/>
      <c r="T34" s="43" t="str">
        <f t="shared" si="27"/>
        <v/>
      </c>
      <c r="U34" s="40"/>
      <c r="V34" s="43" t="str">
        <f t="shared" si="28"/>
        <v/>
      </c>
      <c r="W34" s="40"/>
      <c r="X34" s="43" t="str">
        <f t="shared" si="29"/>
        <v/>
      </c>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row>
    <row r="35" spans="1:102" s="6" customFormat="1" x14ac:dyDescent="0.35">
      <c r="A35" s="21"/>
      <c r="B35" s="21"/>
      <c r="C35" s="48"/>
      <c r="D35" s="22"/>
      <c r="E35" s="23"/>
      <c r="F35" s="23"/>
      <c r="G35" s="24"/>
      <c r="H35" s="25"/>
      <c r="I35" s="26"/>
      <c r="J35" s="26"/>
      <c r="K35" s="26"/>
      <c r="L35" s="25"/>
      <c r="M35" s="102"/>
      <c r="N35" s="102"/>
      <c r="O35" s="27"/>
      <c r="P35" s="27"/>
      <c r="Q35" s="27"/>
      <c r="R35" s="27"/>
      <c r="S35" s="27"/>
      <c r="T35" s="27"/>
      <c r="U35" s="27"/>
      <c r="V35" s="27"/>
      <c r="W35" s="27"/>
      <c r="X35" s="27"/>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row>
    <row r="36" spans="1:102" s="5" customFormat="1" ht="29.5" customHeight="1" x14ac:dyDescent="0.35">
      <c r="A36" s="99" t="s">
        <v>76</v>
      </c>
      <c r="B36" s="100"/>
      <c r="C36" s="106"/>
      <c r="D36" s="107"/>
      <c r="E36" s="107"/>
      <c r="F36" s="107"/>
      <c r="G36" s="107"/>
      <c r="H36" s="107"/>
      <c r="I36" s="107"/>
      <c r="J36" s="107"/>
      <c r="K36" s="107"/>
      <c r="L36" s="107"/>
      <c r="M36" s="107"/>
      <c r="N36" s="107"/>
      <c r="O36" s="107"/>
      <c r="P36" s="107"/>
      <c r="Q36" s="107"/>
      <c r="R36" s="107"/>
      <c r="S36" s="107"/>
      <c r="T36" s="107"/>
      <c r="U36" s="107"/>
      <c r="V36" s="107"/>
      <c r="W36" s="107"/>
      <c r="X36" s="10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row>
    <row r="37" spans="1:102" s="5" customFormat="1" x14ac:dyDescent="0.35">
      <c r="A37" s="19"/>
      <c r="B37" s="19"/>
      <c r="C37" s="28"/>
      <c r="D37" s="28"/>
      <c r="E37" s="29"/>
      <c r="F37" s="29"/>
      <c r="G37" s="20"/>
      <c r="H37" s="30"/>
      <c r="I37" s="31"/>
      <c r="J37" s="31"/>
      <c r="K37" s="31"/>
      <c r="L37" s="30"/>
      <c r="M37" s="30"/>
      <c r="N37" s="30"/>
      <c r="O37" s="30"/>
      <c r="P37" s="30"/>
      <c r="Q37" s="30"/>
      <c r="R37" s="30"/>
      <c r="S37" s="30"/>
      <c r="T37" s="30"/>
      <c r="U37" s="30"/>
      <c r="V37" s="30"/>
      <c r="W37" s="105"/>
      <c r="X37" s="105"/>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row>
    <row r="39" spans="1:102" ht="16" x14ac:dyDescent="0.4">
      <c r="A39" s="45" t="s">
        <v>5</v>
      </c>
    </row>
    <row r="40" spans="1:102" x14ac:dyDescent="0.35">
      <c r="A40" s="53"/>
      <c r="B40" s="47"/>
      <c r="C40" s="47"/>
      <c r="D40" s="47"/>
      <c r="E40" s="47"/>
      <c r="F40" s="47"/>
      <c r="G40" s="49"/>
      <c r="H40" s="47"/>
      <c r="I40" s="46"/>
      <c r="J40" s="46"/>
      <c r="K40" s="46"/>
      <c r="L40" s="47"/>
      <c r="M40" s="47"/>
      <c r="N40" s="47"/>
      <c r="O40" s="47"/>
      <c r="P40" s="47"/>
      <c r="Q40" s="47"/>
      <c r="R40" s="47"/>
      <c r="S40" s="47"/>
      <c r="T40" s="47"/>
      <c r="U40" s="47"/>
      <c r="V40" s="47"/>
      <c r="W40" s="47"/>
      <c r="X40" s="47"/>
    </row>
    <row r="41" spans="1:102" s="8" customFormat="1" x14ac:dyDescent="0.35">
      <c r="A41" s="54" t="s">
        <v>94</v>
      </c>
      <c r="B41" s="50"/>
      <c r="C41" s="50"/>
      <c r="D41" s="50"/>
      <c r="E41" s="50"/>
      <c r="F41" s="50"/>
      <c r="G41" s="51"/>
      <c r="H41" s="50"/>
      <c r="I41" s="52"/>
      <c r="J41" s="52"/>
      <c r="K41" s="52"/>
      <c r="L41" s="50"/>
      <c r="M41" s="50"/>
      <c r="N41" s="50"/>
      <c r="O41" s="50"/>
      <c r="P41" s="50"/>
      <c r="Q41" s="50"/>
      <c r="R41" s="50"/>
      <c r="S41" s="50"/>
      <c r="T41" s="50"/>
      <c r="U41" s="50"/>
      <c r="V41" s="50"/>
      <c r="W41" s="50"/>
      <c r="X41" s="50"/>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row>
    <row r="42" spans="1:102" x14ac:dyDescent="0.35">
      <c r="A42" s="53"/>
      <c r="B42" s="47"/>
      <c r="C42" s="47"/>
      <c r="D42" s="47"/>
      <c r="E42" s="47"/>
      <c r="F42" s="47"/>
      <c r="G42" s="49"/>
      <c r="H42" s="47"/>
      <c r="I42" s="46"/>
      <c r="J42" s="46"/>
      <c r="K42" s="46"/>
      <c r="L42" s="47"/>
      <c r="M42" s="47"/>
      <c r="N42" s="47"/>
      <c r="O42" s="47"/>
      <c r="P42" s="47"/>
      <c r="Q42" s="47"/>
      <c r="R42" s="47"/>
      <c r="S42" s="47"/>
      <c r="T42" s="47"/>
      <c r="U42" s="47"/>
      <c r="V42" s="47"/>
      <c r="W42" s="47"/>
      <c r="X42" s="47"/>
    </row>
    <row r="43" spans="1:102" x14ac:dyDescent="0.35">
      <c r="A43" s="55" t="s">
        <v>111</v>
      </c>
      <c r="B43" s="50"/>
      <c r="C43" s="50"/>
      <c r="D43" s="50"/>
      <c r="E43" s="50"/>
      <c r="F43" s="50"/>
      <c r="G43" s="51"/>
      <c r="H43" s="50"/>
      <c r="I43" s="52"/>
      <c r="J43" s="52"/>
      <c r="K43" s="52"/>
      <c r="L43" s="50"/>
      <c r="M43" s="50"/>
      <c r="N43" s="50"/>
      <c r="O43" s="50"/>
      <c r="P43" s="50"/>
      <c r="Q43" s="50"/>
      <c r="R43" s="47"/>
      <c r="S43" s="47"/>
      <c r="T43" s="47"/>
      <c r="U43" s="47"/>
      <c r="V43" s="47"/>
      <c r="W43" s="47"/>
      <c r="X43" s="47"/>
    </row>
    <row r="45" spans="1:102" ht="16" x14ac:dyDescent="0.4">
      <c r="A45" s="45" t="s">
        <v>97</v>
      </c>
    </row>
    <row r="46" spans="1:102" ht="43.5" x14ac:dyDescent="0.35">
      <c r="A46" s="44" t="s">
        <v>99</v>
      </c>
      <c r="B46" s="1"/>
      <c r="C46" s="1"/>
      <c r="D46" s="1"/>
      <c r="E46" s="1"/>
      <c r="F46" s="1"/>
      <c r="G46" s="1"/>
      <c r="H46" s="1"/>
      <c r="I46" s="1"/>
      <c r="J46" s="11" t="s">
        <v>1</v>
      </c>
    </row>
    <row r="47" spans="1:102" x14ac:dyDescent="0.35">
      <c r="A47" s="1"/>
      <c r="B47" s="1"/>
      <c r="C47" s="1" t="s">
        <v>85</v>
      </c>
      <c r="D47" s="1"/>
      <c r="E47" s="1"/>
      <c r="F47" s="1"/>
      <c r="G47" s="1"/>
      <c r="H47" s="1"/>
      <c r="I47" s="1"/>
      <c r="J47" s="1"/>
    </row>
    <row r="48" spans="1:102" x14ac:dyDescent="0.35">
      <c r="A48" s="1"/>
      <c r="B48" s="1"/>
      <c r="C48" s="1" t="s">
        <v>86</v>
      </c>
      <c r="D48" s="1"/>
      <c r="E48" s="1"/>
      <c r="F48" s="1"/>
      <c r="G48" s="1"/>
      <c r="H48" s="1"/>
      <c r="I48" s="1"/>
      <c r="J48" s="1"/>
    </row>
    <row r="49" spans="1:10" x14ac:dyDescent="0.35">
      <c r="A49" s="1"/>
      <c r="B49" s="1"/>
      <c r="C49" s="1" t="s">
        <v>87</v>
      </c>
      <c r="D49" s="1"/>
      <c r="E49" s="1"/>
      <c r="F49" s="1"/>
      <c r="G49" s="1"/>
      <c r="H49" s="1"/>
      <c r="I49" s="1"/>
      <c r="J49" s="1"/>
    </row>
    <row r="50" spans="1:10" x14ac:dyDescent="0.35">
      <c r="A50" s="1"/>
      <c r="B50" s="1"/>
      <c r="C50" s="1" t="s">
        <v>88</v>
      </c>
      <c r="D50" s="1"/>
      <c r="E50" s="1"/>
      <c r="F50" s="1"/>
      <c r="G50" s="1"/>
      <c r="H50" s="1"/>
      <c r="I50" s="1"/>
      <c r="J50" s="1"/>
    </row>
    <row r="51" spans="1:10" x14ac:dyDescent="0.35">
      <c r="A51" s="1"/>
      <c r="B51" s="1"/>
      <c r="C51" s="1" t="s">
        <v>89</v>
      </c>
      <c r="D51" s="1"/>
      <c r="E51" s="1"/>
      <c r="F51" s="1"/>
      <c r="G51" s="1"/>
      <c r="H51" s="1"/>
      <c r="I51" s="1"/>
      <c r="J51" s="1"/>
    </row>
    <row r="52" spans="1:10" ht="29" x14ac:dyDescent="0.35">
      <c r="A52" s="1"/>
      <c r="B52" s="1"/>
      <c r="C52" s="1" t="s">
        <v>90</v>
      </c>
      <c r="D52" s="1"/>
      <c r="E52" s="1"/>
      <c r="F52" s="1"/>
      <c r="G52" s="1"/>
      <c r="H52" s="1"/>
      <c r="I52" s="1"/>
      <c r="J52" s="1"/>
    </row>
    <row r="53" spans="1:10" ht="29" x14ac:dyDescent="0.35">
      <c r="A53" s="1"/>
      <c r="B53" s="1"/>
      <c r="C53" s="1" t="s">
        <v>91</v>
      </c>
      <c r="D53" s="1"/>
      <c r="E53" s="1"/>
      <c r="F53" s="1"/>
      <c r="G53" s="1"/>
      <c r="H53" s="1"/>
      <c r="I53" s="1"/>
      <c r="J53" s="1"/>
    </row>
    <row r="54" spans="1:10" x14ac:dyDescent="0.35">
      <c r="A54" s="1"/>
      <c r="B54" s="1"/>
      <c r="C54" s="1" t="s">
        <v>92</v>
      </c>
      <c r="D54" s="1"/>
      <c r="E54" s="1"/>
      <c r="F54" s="1"/>
      <c r="G54" s="1"/>
      <c r="H54" s="1"/>
      <c r="I54" s="1"/>
      <c r="J54" s="1"/>
    </row>
    <row r="55" spans="1:10" x14ac:dyDescent="0.35">
      <c r="B55" s="1"/>
      <c r="C55" s="1"/>
      <c r="D55" s="1"/>
      <c r="E55" s="1"/>
      <c r="F55" s="1"/>
      <c r="G55" s="1"/>
      <c r="H55" s="1"/>
      <c r="I55" s="1"/>
    </row>
    <row r="56" spans="1:10" x14ac:dyDescent="0.35">
      <c r="B56" s="1"/>
      <c r="C56" s="1"/>
      <c r="D56" s="1"/>
      <c r="E56" s="1"/>
      <c r="F56" s="1"/>
      <c r="G56" s="1"/>
      <c r="H56" s="1"/>
      <c r="I56" s="1"/>
    </row>
    <row r="57" spans="1:10" x14ac:dyDescent="0.35">
      <c r="B57" s="1"/>
      <c r="C57" s="1" t="s">
        <v>77</v>
      </c>
      <c r="D57" s="1"/>
      <c r="E57" s="1"/>
      <c r="F57" s="1"/>
      <c r="G57" s="1"/>
      <c r="H57" s="1"/>
      <c r="I57" s="1"/>
      <c r="J57" s="1"/>
    </row>
    <row r="58" spans="1:10" x14ac:dyDescent="0.35">
      <c r="B58" s="1"/>
      <c r="C58" s="1" t="s">
        <v>78</v>
      </c>
      <c r="D58" s="1"/>
      <c r="E58" s="1"/>
      <c r="F58" s="1"/>
      <c r="G58" s="1"/>
      <c r="H58" s="1"/>
      <c r="I58" s="1"/>
      <c r="J58" s="1"/>
    </row>
    <row r="59" spans="1:10" x14ac:dyDescent="0.35">
      <c r="B59" s="1"/>
      <c r="C59" s="1" t="s">
        <v>79</v>
      </c>
      <c r="D59" s="1"/>
      <c r="E59" s="1"/>
      <c r="F59" s="1"/>
      <c r="G59" s="1"/>
      <c r="H59" s="1"/>
      <c r="I59" s="1"/>
      <c r="J59" s="1"/>
    </row>
    <row r="60" spans="1:10" x14ac:dyDescent="0.35">
      <c r="B60" s="1"/>
      <c r="C60" s="1" t="s">
        <v>80</v>
      </c>
      <c r="D60" s="1"/>
      <c r="E60" s="1"/>
      <c r="F60" s="1"/>
      <c r="G60" s="1"/>
      <c r="H60" s="1"/>
      <c r="I60" s="1"/>
      <c r="J60" s="1"/>
    </row>
    <row r="61" spans="1:10" x14ac:dyDescent="0.35">
      <c r="B61" s="1"/>
      <c r="C61" s="1" t="s">
        <v>81</v>
      </c>
      <c r="D61" s="1"/>
      <c r="E61" s="1"/>
      <c r="F61" s="1"/>
      <c r="G61" s="1"/>
      <c r="H61" s="1"/>
      <c r="I61" s="1"/>
      <c r="J61" s="1"/>
    </row>
    <row r="62" spans="1:10" ht="29" x14ac:dyDescent="0.35">
      <c r="C62" s="1" t="s">
        <v>82</v>
      </c>
      <c r="D62" s="1"/>
      <c r="E62" s="1"/>
      <c r="F62" s="1"/>
      <c r="G62" s="1"/>
      <c r="H62" s="1"/>
      <c r="I62" s="1"/>
      <c r="J62" s="1"/>
    </row>
    <row r="63" spans="1:10" ht="29" x14ac:dyDescent="0.35">
      <c r="C63" s="1" t="s">
        <v>83</v>
      </c>
      <c r="D63" s="1"/>
      <c r="E63" s="1"/>
      <c r="F63" s="1"/>
      <c r="G63" s="1"/>
      <c r="H63" s="1"/>
      <c r="I63" s="1"/>
      <c r="J63" s="1"/>
    </row>
    <row r="64" spans="1:10" x14ac:dyDescent="0.35">
      <c r="C64" s="1" t="s">
        <v>84</v>
      </c>
      <c r="D64" s="1"/>
      <c r="E64" s="1"/>
      <c r="F64" s="1"/>
      <c r="G64" s="1"/>
      <c r="H64" s="1"/>
      <c r="I64" s="1"/>
      <c r="J64" s="1"/>
    </row>
    <row r="66" spans="1:10" ht="16" x14ac:dyDescent="0.4">
      <c r="A66" s="45" t="s">
        <v>98</v>
      </c>
    </row>
    <row r="67" spans="1:10" x14ac:dyDescent="0.35">
      <c r="A67" s="44" t="s">
        <v>99</v>
      </c>
      <c r="J67" s="12" t="s">
        <v>1</v>
      </c>
    </row>
    <row r="68" spans="1:10" x14ac:dyDescent="0.35">
      <c r="C68" s="1" t="s">
        <v>85</v>
      </c>
      <c r="D68" s="1"/>
      <c r="E68" s="1"/>
      <c r="F68" s="1"/>
      <c r="G68" s="1"/>
      <c r="H68" s="1"/>
      <c r="I68" s="1"/>
      <c r="J68" s="1"/>
    </row>
    <row r="69" spans="1:10" x14ac:dyDescent="0.35">
      <c r="C69" s="1" t="s">
        <v>86</v>
      </c>
      <c r="D69" s="1"/>
      <c r="E69" s="1"/>
      <c r="F69" s="1"/>
      <c r="G69" s="1"/>
      <c r="H69" s="1"/>
      <c r="I69" s="1"/>
      <c r="J69" s="1"/>
    </row>
    <row r="70" spans="1:10" x14ac:dyDescent="0.35">
      <c r="C70" s="1" t="s">
        <v>87</v>
      </c>
      <c r="D70" s="1"/>
      <c r="E70" s="1"/>
      <c r="F70" s="1"/>
      <c r="G70" s="1"/>
      <c r="H70" s="1"/>
      <c r="I70" s="1"/>
      <c r="J70" s="1"/>
    </row>
    <row r="71" spans="1:10" x14ac:dyDescent="0.35">
      <c r="C71" s="1" t="s">
        <v>88</v>
      </c>
      <c r="D71" s="1"/>
      <c r="E71" s="1"/>
      <c r="F71" s="1"/>
      <c r="G71" s="1"/>
      <c r="H71" s="1"/>
      <c r="I71" s="1"/>
      <c r="J71" s="1"/>
    </row>
    <row r="72" spans="1:10" x14ac:dyDescent="0.35">
      <c r="C72" s="1" t="s">
        <v>89</v>
      </c>
      <c r="D72" s="1"/>
      <c r="E72" s="1"/>
      <c r="F72" s="1"/>
      <c r="G72" s="1"/>
      <c r="H72" s="1"/>
      <c r="I72" s="1"/>
      <c r="J72" s="1"/>
    </row>
    <row r="73" spans="1:10" ht="29" x14ac:dyDescent="0.35">
      <c r="C73" s="1" t="s">
        <v>90</v>
      </c>
      <c r="D73" s="1"/>
      <c r="E73" s="1"/>
      <c r="F73" s="1"/>
      <c r="G73" s="1"/>
      <c r="H73" s="1"/>
      <c r="I73" s="1"/>
      <c r="J73" s="1"/>
    </row>
    <row r="74" spans="1:10" ht="29" x14ac:dyDescent="0.35">
      <c r="C74" s="1" t="s">
        <v>91</v>
      </c>
      <c r="D74" s="1"/>
      <c r="E74" s="1"/>
      <c r="F74" s="1"/>
      <c r="G74" s="1"/>
      <c r="H74" s="1"/>
      <c r="I74" s="1"/>
      <c r="J74" s="1"/>
    </row>
    <row r="75" spans="1:10" x14ac:dyDescent="0.35">
      <c r="C75" s="1" t="s">
        <v>92</v>
      </c>
      <c r="D75" s="1"/>
      <c r="E75" s="1"/>
      <c r="F75" s="1"/>
      <c r="G75" s="1"/>
      <c r="H75" s="1"/>
      <c r="I75" s="1"/>
      <c r="J75" s="1"/>
    </row>
    <row r="78" spans="1:10" x14ac:dyDescent="0.35">
      <c r="C78" s="1" t="s">
        <v>77</v>
      </c>
      <c r="D78" s="1"/>
      <c r="E78" s="1"/>
      <c r="F78" s="1"/>
      <c r="G78" s="1"/>
      <c r="H78" s="1"/>
      <c r="I78" s="1"/>
      <c r="J78" s="1"/>
    </row>
    <row r="79" spans="1:10" x14ac:dyDescent="0.35">
      <c r="C79" s="1" t="s">
        <v>78</v>
      </c>
      <c r="D79" s="1"/>
      <c r="E79" s="1"/>
      <c r="F79" s="1"/>
      <c r="G79" s="1"/>
      <c r="H79" s="1"/>
      <c r="I79" s="1"/>
      <c r="J79" s="1"/>
    </row>
    <row r="80" spans="1:10" x14ac:dyDescent="0.35">
      <c r="C80" s="1" t="s">
        <v>79</v>
      </c>
      <c r="D80" s="1"/>
      <c r="E80" s="1"/>
      <c r="F80" s="1"/>
      <c r="G80" s="1"/>
      <c r="H80" s="1"/>
      <c r="I80" s="1"/>
      <c r="J80" s="1"/>
    </row>
    <row r="81" spans="3:10" x14ac:dyDescent="0.35">
      <c r="C81" s="1" t="s">
        <v>80</v>
      </c>
      <c r="D81" s="1"/>
      <c r="E81" s="1"/>
      <c r="F81" s="1"/>
      <c r="G81" s="1"/>
      <c r="H81" s="1"/>
      <c r="I81" s="1"/>
      <c r="J81" s="1"/>
    </row>
    <row r="82" spans="3:10" x14ac:dyDescent="0.35">
      <c r="C82" s="1" t="s">
        <v>81</v>
      </c>
      <c r="D82" s="1"/>
      <c r="E82" s="1"/>
      <c r="F82" s="1"/>
      <c r="G82" s="1"/>
      <c r="H82" s="1"/>
      <c r="I82" s="1"/>
      <c r="J82" s="1"/>
    </row>
    <row r="83" spans="3:10" ht="29" x14ac:dyDescent="0.35">
      <c r="C83" s="1" t="s">
        <v>82</v>
      </c>
      <c r="D83" s="1"/>
      <c r="E83" s="1"/>
      <c r="F83" s="1"/>
      <c r="G83" s="1"/>
      <c r="H83" s="1"/>
      <c r="I83" s="1"/>
      <c r="J83" s="1"/>
    </row>
    <row r="84" spans="3:10" ht="29" x14ac:dyDescent="0.35">
      <c r="C84" s="1" t="s">
        <v>83</v>
      </c>
      <c r="D84" s="1"/>
      <c r="E84" s="1"/>
      <c r="F84" s="1"/>
      <c r="G84" s="1"/>
      <c r="H84" s="1"/>
      <c r="I84" s="1"/>
      <c r="J84" s="1"/>
    </row>
    <row r="85" spans="3:10" x14ac:dyDescent="0.35">
      <c r="C85" s="1" t="s">
        <v>84</v>
      </c>
      <c r="D85" s="1"/>
      <c r="E85" s="1"/>
      <c r="F85" s="1"/>
      <c r="G85" s="1"/>
      <c r="H85" s="1"/>
      <c r="I85" s="1"/>
      <c r="J85" s="1"/>
    </row>
  </sheetData>
  <mergeCells count="29">
    <mergeCell ref="W9:X9"/>
    <mergeCell ref="W25:X25"/>
    <mergeCell ref="P8:X8"/>
    <mergeCell ref="P24:X24"/>
    <mergeCell ref="C20:X20"/>
    <mergeCell ref="E2:L2"/>
    <mergeCell ref="E3:L3"/>
    <mergeCell ref="B6:D6"/>
    <mergeCell ref="D8:N8"/>
    <mergeCell ref="S9:T9"/>
    <mergeCell ref="U9:V9"/>
    <mergeCell ref="A20:B20"/>
    <mergeCell ref="A9:B18"/>
    <mergeCell ref="G9:H9"/>
    <mergeCell ref="I9:J9"/>
    <mergeCell ref="K9:L9"/>
    <mergeCell ref="Q9:R9"/>
    <mergeCell ref="M9:N9"/>
    <mergeCell ref="D24:N24"/>
    <mergeCell ref="U25:V25"/>
    <mergeCell ref="A36:B36"/>
    <mergeCell ref="A25:B34"/>
    <mergeCell ref="G25:H25"/>
    <mergeCell ref="I25:J25"/>
    <mergeCell ref="K25:L25"/>
    <mergeCell ref="Q25:R25"/>
    <mergeCell ref="S25:T25"/>
    <mergeCell ref="M25:N25"/>
    <mergeCell ref="C36:X36"/>
  </mergeCells>
  <conditionalFormatting sqref="E11:E18">
    <cfRule type="expression" dxfId="69" priority="17">
      <formula>AND(E11&lt;&gt;"",E11&gt;=200)</formula>
    </cfRule>
    <cfRule type="expression" dxfId="68" priority="18">
      <formula>AND(E11&lt;&gt;"",E11&lt;200)</formula>
    </cfRule>
  </conditionalFormatting>
  <conditionalFormatting sqref="E27:E34">
    <cfRule type="expression" dxfId="67" priority="35">
      <formula>AND(E27&lt;&gt;"",E27&gt;=200)</formula>
    </cfRule>
    <cfRule type="expression" dxfId="66" priority="36">
      <formula>AND(E27&lt;&gt;"",E27&lt;200)</formula>
    </cfRule>
  </conditionalFormatting>
  <conditionalFormatting sqref="F11:F18">
    <cfRule type="containsText" dxfId="65" priority="34" operator="containsText" text="TARGET">
      <formula>NOT(ISERROR(SEARCH("TARGET",F11)))</formula>
    </cfRule>
  </conditionalFormatting>
  <conditionalFormatting sqref="F27:F34">
    <cfRule type="containsText" dxfId="64" priority="52" operator="containsText" text="TARGET">
      <formula>NOT(ISERROR(SEARCH("TARGET",F27)))</formula>
    </cfRule>
  </conditionalFormatting>
  <conditionalFormatting sqref="G11:G18">
    <cfRule type="expression" dxfId="63" priority="19">
      <formula>AND(G11&lt;&gt;"",G11&gt;=200)</formula>
    </cfRule>
    <cfRule type="expression" dxfId="62" priority="20">
      <formula>AND(G11&lt;&gt;"",G11&lt;200)</formula>
    </cfRule>
  </conditionalFormatting>
  <conditionalFormatting sqref="G27:G34">
    <cfRule type="expression" dxfId="61" priority="37">
      <formula>AND(G27&lt;&gt;"",G27&gt;=200)</formula>
    </cfRule>
    <cfRule type="expression" dxfId="60" priority="38">
      <formula>AND(G27&lt;&gt;"",G27&lt;200)</formula>
    </cfRule>
  </conditionalFormatting>
  <conditionalFormatting sqref="H11:H18">
    <cfRule type="expression" dxfId="59" priority="53" stopIfTrue="1">
      <formula>AND(H11&lt;&gt;"",OR(G11&lt;200,H11&lt;=-25))</formula>
    </cfRule>
    <cfRule type="expression" dxfId="58" priority="54" stopIfTrue="1">
      <formula>AND(H11&lt;&gt;"",G11&gt;=200,H11&gt;-25)</formula>
    </cfRule>
  </conditionalFormatting>
  <conditionalFormatting sqref="H27:H34">
    <cfRule type="expression" dxfId="57" priority="55" stopIfTrue="1">
      <formula>AND(H27&lt;&gt;"",OR(G27&lt;200,H27&lt;=-25))</formula>
    </cfRule>
    <cfRule type="expression" dxfId="56" priority="56" stopIfTrue="1">
      <formula>AND(H27&lt;&gt;"",G27&gt;=200,H27&gt;-25)</formula>
    </cfRule>
  </conditionalFormatting>
  <conditionalFormatting sqref="I11:I18">
    <cfRule type="expression" dxfId="55" priority="21">
      <formula>AND(I11&lt;&gt;"",I11&gt;=200)</formula>
    </cfRule>
    <cfRule type="expression" dxfId="54" priority="22">
      <formula>AND(I11&lt;&gt;"",I11&lt;200)</formula>
    </cfRule>
  </conditionalFormatting>
  <conditionalFormatting sqref="I27:I34">
    <cfRule type="expression" dxfId="53" priority="39">
      <formula>AND(I27&lt;&gt;"",I27&gt;=200)</formula>
    </cfRule>
    <cfRule type="expression" dxfId="52" priority="40">
      <formula>AND(I27&lt;&gt;"",I27&lt;200)</formula>
    </cfRule>
  </conditionalFormatting>
  <conditionalFormatting sqref="J11:J18">
    <cfRule type="expression" dxfId="51" priority="57" stopIfTrue="1">
      <formula>AND(J11&lt;&gt;"",OR(I11&lt;200,J11&lt;=-25))</formula>
    </cfRule>
    <cfRule type="expression" dxfId="50" priority="58" stopIfTrue="1">
      <formula>AND(J11&lt;&gt;"",I11&gt;=200,J11&gt;-25)</formula>
    </cfRule>
  </conditionalFormatting>
  <conditionalFormatting sqref="J27:J34">
    <cfRule type="expression" dxfId="49" priority="59" stopIfTrue="1">
      <formula>AND(J27&lt;&gt;"",OR(I27&lt;200,J27&lt;=-25))</formula>
    </cfRule>
    <cfRule type="expression" dxfId="48" priority="60" stopIfTrue="1">
      <formula>AND(J27&lt;&gt;"",I27&gt;=200,J27&gt;-25)</formula>
    </cfRule>
  </conditionalFormatting>
  <conditionalFormatting sqref="K11:K18">
    <cfRule type="expression" dxfId="47" priority="23">
      <formula>AND(K11&lt;&gt;"",K11&gt;=200)</formula>
    </cfRule>
    <cfRule type="expression" dxfId="46" priority="24">
      <formula>AND(K11&lt;&gt;"",K11&lt;200)</formula>
    </cfRule>
  </conditionalFormatting>
  <conditionalFormatting sqref="K27:K34">
    <cfRule type="expression" dxfId="45" priority="41">
      <formula>AND(K27&lt;&gt;"",K27&gt;=200)</formula>
    </cfRule>
    <cfRule type="expression" dxfId="44" priority="42">
      <formula>AND(K27&lt;&gt;"",K27&lt;200)</formula>
    </cfRule>
  </conditionalFormatting>
  <conditionalFormatting sqref="L11:L18 N11:N18">
    <cfRule type="expression" dxfId="43" priority="61" stopIfTrue="1">
      <formula>AND(L11&lt;&gt;"",OR(K11&lt;200,L11&lt;=-25))</formula>
    </cfRule>
    <cfRule type="expression" dxfId="42" priority="62" stopIfTrue="1">
      <formula>AND(L11&lt;&gt;"",K11&gt;=200,L11&gt;-25)</formula>
    </cfRule>
  </conditionalFormatting>
  <conditionalFormatting sqref="L27:L34 N27:N34">
    <cfRule type="expression" dxfId="41" priority="63" stopIfTrue="1">
      <formula>AND(L27&lt;&gt;"",OR(K27&lt;200,L27&lt;=-25))</formula>
    </cfRule>
    <cfRule type="expression" dxfId="40" priority="64" stopIfTrue="1">
      <formula>AND(L27&lt;&gt;"",K27&gt;=200,L27&gt;-25)</formula>
    </cfRule>
  </conditionalFormatting>
  <conditionalFormatting sqref="Q11:Q18">
    <cfRule type="expression" dxfId="23" priority="77" stopIfTrue="1">
      <formula>AND(Q11&lt;&gt;"",Q11&gt;=1.05*IF($M11&lt;&gt;"",$M11,IF($K11&lt;&gt;"",$K11,IF($I11&lt;&gt;"",$I11,$G11))))</formula>
    </cfRule>
    <cfRule type="expression" dxfId="22" priority="25">
      <formula>AND(Q11&lt;&gt;"",Q11&gt;=200)</formula>
    </cfRule>
    <cfRule type="expression" dxfId="21" priority="26">
      <formula>AND(Q11&lt;&gt;"",Q11&lt;200)</formula>
    </cfRule>
  </conditionalFormatting>
  <conditionalFormatting sqref="Q27:Q34">
    <cfRule type="expression" dxfId="11" priority="81" stopIfTrue="1">
      <formula>AND(Q27&lt;&gt;"",Q27&gt;=1.05*IF($M27&lt;&gt;"",$M27,IF($K27&lt;&gt;"",$K27,IF($I27&lt;&gt;"",$I27,$G27))))</formula>
    </cfRule>
    <cfRule type="expression" dxfId="10" priority="43">
      <formula>AND(Q27&lt;&gt;"",Q27&gt;=200)</formula>
    </cfRule>
    <cfRule type="expression" dxfId="9" priority="44">
      <formula>AND(Q27&lt;&gt;"",Q27&lt;200)</formula>
    </cfRule>
  </conditionalFormatting>
  <conditionalFormatting sqref="R11:R18">
    <cfRule type="expression" dxfId="39" priority="65" stopIfTrue="1">
      <formula>AND(R11&lt;&gt;"",OR(Q11&lt;200,R11&lt;=-25))</formula>
    </cfRule>
    <cfRule type="expression" dxfId="38" priority="66" stopIfTrue="1">
      <formula>AND(R11&lt;&gt;"",Q11&gt;=200,R11&gt;-25)</formula>
    </cfRule>
  </conditionalFormatting>
  <conditionalFormatting sqref="R27:R34">
    <cfRule type="expression" dxfId="37" priority="67" stopIfTrue="1">
      <formula>AND(R27&lt;&gt;"",OR(Q27&lt;200,R27&lt;=-25))</formula>
    </cfRule>
    <cfRule type="expression" dxfId="36" priority="68" stopIfTrue="1">
      <formula>AND(R27&lt;&gt;"",Q27&gt;=200,R27&gt;-25)</formula>
    </cfRule>
  </conditionalFormatting>
  <conditionalFormatting sqref="S11:S18">
    <cfRule type="expression" dxfId="20" priority="78" stopIfTrue="1">
      <formula>AND(S11&lt;&gt;"",S11&gt;=1.05*IF($M11&lt;&gt;"",$M11,IF($K11&lt;&gt;"",$K11,IF($I11&lt;&gt;"",$I11,$G11))))</formula>
    </cfRule>
    <cfRule type="expression" dxfId="19" priority="27">
      <formula>AND(S11&lt;&gt;"",S11&gt;=200)</formula>
    </cfRule>
    <cfRule type="expression" dxfId="18" priority="28">
      <formula>AND(S11&lt;&gt;"",S11&lt;200)</formula>
    </cfRule>
  </conditionalFormatting>
  <conditionalFormatting sqref="S27:S34">
    <cfRule type="expression" dxfId="8" priority="82" stopIfTrue="1">
      <formula>AND(S27&lt;&gt;"",S27&gt;=1.05*IF($M27&lt;&gt;"",$M27,IF($K27&lt;&gt;"",$K27,IF($I27&lt;&gt;"",$I27,$G27))))</formula>
    </cfRule>
    <cfRule type="expression" dxfId="7" priority="45">
      <formula>AND(S27&lt;&gt;"",S27&gt;=200)</formula>
    </cfRule>
    <cfRule type="expression" dxfId="6" priority="46">
      <formula>AND(S27&lt;&gt;"",S27&lt;200)</formula>
    </cfRule>
  </conditionalFormatting>
  <conditionalFormatting sqref="T11:T18">
    <cfRule type="expression" dxfId="35" priority="69" stopIfTrue="1">
      <formula>AND(T11&lt;&gt;"",OR(S11&lt;200,T11&lt;=-25))</formula>
    </cfRule>
    <cfRule type="expression" dxfId="34" priority="70" stopIfTrue="1">
      <formula>AND(T11&lt;&gt;"",S11&gt;=200,T11&gt;-25)</formula>
    </cfRule>
  </conditionalFormatting>
  <conditionalFormatting sqref="T27:T34">
    <cfRule type="expression" dxfId="33" priority="71" stopIfTrue="1">
      <formula>AND(T27&lt;&gt;"",OR(S27&lt;200,T27&lt;=-25))</formula>
    </cfRule>
    <cfRule type="expression" dxfId="32" priority="72" stopIfTrue="1">
      <formula>AND(T27&lt;&gt;"",S27&gt;=200,T27&gt;-25)</formula>
    </cfRule>
  </conditionalFormatting>
  <conditionalFormatting sqref="U11:U18">
    <cfRule type="expression" dxfId="17" priority="79" stopIfTrue="1">
      <formula>AND(U11&lt;&gt;"",U11&gt;=1.05*IF($M11&lt;&gt;"",$M11,IF($K11&lt;&gt;"",$K11,IF($I11&lt;&gt;"",$I11,$G11))))</formula>
    </cfRule>
    <cfRule type="expression" dxfId="16" priority="29">
      <formula>AND(U11&lt;&gt;"",U11&gt;=200)</formula>
    </cfRule>
    <cfRule type="expression" dxfId="15" priority="30">
      <formula>AND(U11&lt;&gt;"",U11&lt;200)</formula>
    </cfRule>
  </conditionalFormatting>
  <conditionalFormatting sqref="U27:U34">
    <cfRule type="expression" dxfId="5" priority="83" stopIfTrue="1">
      <formula>AND(U27&lt;&gt;"",U27&gt;=1.05*IF($M27&lt;&gt;"",$M27,IF($K27&lt;&gt;"",$K27,IF($I27&lt;&gt;"",$I27,$G27))))</formula>
    </cfRule>
    <cfRule type="expression" dxfId="4" priority="47">
      <formula>AND(U27&lt;&gt;"",U27&gt;=200)</formula>
    </cfRule>
    <cfRule type="expression" dxfId="3" priority="48">
      <formula>AND(U27&lt;&gt;"",U27&lt;200)</formula>
    </cfRule>
  </conditionalFormatting>
  <conditionalFormatting sqref="V11:V18 X11:X18">
    <cfRule type="expression" dxfId="31" priority="73" stopIfTrue="1">
      <formula>AND(V11&lt;&gt;"",OR(U11&lt;200,V11&lt;=-25))</formula>
    </cfRule>
    <cfRule type="expression" dxfId="30" priority="74" stopIfTrue="1">
      <formula>AND(V11&lt;&gt;"",U11&gt;=200,V11&gt;-25)</formula>
    </cfRule>
  </conditionalFormatting>
  <conditionalFormatting sqref="V27:V34 X27:X34">
    <cfRule type="expression" dxfId="29" priority="75" stopIfTrue="1">
      <formula>AND(V27&lt;&gt;"",OR(U27&lt;200,V27&lt;=-25))</formula>
    </cfRule>
    <cfRule type="expression" dxfId="28" priority="76" stopIfTrue="1">
      <formula>AND(V27&lt;&gt;"",U27&gt;=200,V27&gt;-25)</formula>
    </cfRule>
  </conditionalFormatting>
  <conditionalFormatting sqref="M11:M18">
    <cfRule type="expression" dxfId="27" priority="9">
      <formula>AND(M11&lt;&gt;"",M11&gt;=200)</formula>
    </cfRule>
    <cfRule type="expression" dxfId="26" priority="10">
      <formula>AND(M11&lt;&gt;"",M11&lt;200)</formula>
    </cfRule>
  </conditionalFormatting>
  <conditionalFormatting sqref="M27:M34">
    <cfRule type="expression" dxfId="25" priority="7">
      <formula>AND(M27&lt;&gt;"",M27&gt;=200)</formula>
    </cfRule>
    <cfRule type="expression" dxfId="24" priority="8">
      <formula>AND(M27&lt;&gt;"",M27&lt;200)</formula>
    </cfRule>
  </conditionalFormatting>
  <conditionalFormatting sqref="W11:W18">
    <cfRule type="expression" dxfId="14" priority="80" stopIfTrue="1">
      <formula>AND(W11&lt;&gt;"",W11&gt;=1.05*IF($M11&lt;&gt;"",$M11,IF($K11&lt;&gt;"",$K11,IF($I11&lt;&gt;"",$I11,$G11))))</formula>
    </cfRule>
    <cfRule type="expression" dxfId="13" priority="5">
      <formula>AND(W11&lt;&gt;"",W11&gt;=200)</formula>
    </cfRule>
    <cfRule type="expression" dxfId="12" priority="6">
      <formula>AND(W11&lt;&gt;"",W11&lt;200)</formula>
    </cfRule>
  </conditionalFormatting>
  <conditionalFormatting sqref="W27:W34">
    <cfRule type="expression" dxfId="2" priority="84" stopIfTrue="1">
      <formula>AND(W27&lt;&gt;"",W27&gt;=1.05*IF($M27&lt;&gt;"",$M27,IF($K27&lt;&gt;"",$K27,IF($I27&lt;&gt;"",$I27,$G27))))</formula>
    </cfRule>
    <cfRule type="expression" dxfId="1" priority="2">
      <formula>AND(W27&lt;&gt;"",W27&gt;=200)</formula>
    </cfRule>
    <cfRule type="expression" dxfId="0" priority="3">
      <formula>AND(W27&lt;&gt;"",W27&lt;200)</formula>
    </cfRule>
  </conditionalFormatting>
  <dataValidations count="2">
    <dataValidation type="list" allowBlank="1" showInputMessage="1" sqref="C20" xr:uid="{694A8DFC-9F49-4FAA-B04E-80334136ECA7}">
      <formula1>$C$11:$C$18</formula1>
    </dataValidation>
    <dataValidation type="list" allowBlank="1" showInputMessage="1" sqref="C36" xr:uid="{BC314614-426B-4B50-A6F9-C258BFDBDA42}">
      <formula1>$C$27:$C$34</formula1>
    </dataValidation>
  </dataValidations>
  <pageMargins left="0.7" right="0.7" top="0.75" bottom="0.75" header="0.3" footer="0.3"/>
  <pageSetup paperSize="9" scale="45"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3</vt:i4>
      </vt:variant>
      <vt:variant>
        <vt:lpstr>Benoemde bereiken</vt:lpstr>
      </vt:variant>
      <vt:variant>
        <vt:i4>2</vt:i4>
      </vt:variant>
    </vt:vector>
  </HeadingPairs>
  <TitlesOfParts>
    <vt:vector size="5" baseType="lpstr">
      <vt:lpstr>Meting</vt:lpstr>
      <vt:lpstr>Visit</vt:lpstr>
      <vt:lpstr>TEMPLATE (blank)</vt:lpstr>
      <vt:lpstr>'TEMPLATE (blank)'!Afdrukbereik</vt:lpstr>
      <vt:lpstr>Visit!Afdrukbereik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I-Shape</dc:creator>
  <cp:lastModifiedBy>Janou De Buyser</cp:lastModifiedBy>
  <dcterms:created xsi:type="dcterms:W3CDTF">2025-01-19T11:10:00Z</dcterms:created>
  <dcterms:modified xsi:type="dcterms:W3CDTF">2026-10-08T17:26:13Z</dcterms:modified>
</cp:coreProperties>
</file>
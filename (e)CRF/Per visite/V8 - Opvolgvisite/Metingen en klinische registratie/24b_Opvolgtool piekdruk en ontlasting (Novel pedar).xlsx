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nou\AppData\Local\Temp\claude\c--Users-janou-OneDrive---KU-Leuven-Documents-PhD-Brugge-Site\bc4ac141-32fc-489e-b2c3-e6515fecc0f9\scratchpad\"/>
    </mc:Choice>
  </mc:AlternateContent>
  <xr:revisionPtr revIDLastSave="0" documentId="13_ncr:1_{C53EBE56-6097-4FEC-8E78-C82BEBF17524}" xr6:coauthVersionLast="47" xr6:coauthVersionMax="47" xr10:uidLastSave="{00000000-0000-0000-0000-000000000000}"/>
  <bookViews>
    <workbookView xWindow="-110" yWindow="-110" windowWidth="25820" windowHeight="15500" xr2:uid="{00000000-000D-0000-FFFF-FFFF00000000}"/>
  </bookViews>
  <sheets>
    <sheet name="Opvolgtoo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6" i="1" l="1"/>
  <c r="Q36" i="1"/>
  <c r="N36" i="1"/>
  <c r="M36" i="1"/>
  <c r="J36" i="1"/>
  <c r="I36" i="1"/>
  <c r="R35" i="1"/>
  <c r="Q35" i="1"/>
  <c r="N35" i="1"/>
  <c r="M35" i="1"/>
  <c r="J35" i="1"/>
  <c r="I35" i="1"/>
  <c r="R34" i="1"/>
  <c r="Q34" i="1"/>
  <c r="N34" i="1"/>
  <c r="M34" i="1"/>
  <c r="J34" i="1"/>
  <c r="I34" i="1"/>
  <c r="R33" i="1"/>
  <c r="Q33" i="1"/>
  <c r="N33" i="1"/>
  <c r="M33" i="1"/>
  <c r="J33" i="1"/>
  <c r="I33" i="1"/>
  <c r="R32" i="1"/>
  <c r="Q32" i="1"/>
  <c r="N32" i="1"/>
  <c r="M32" i="1"/>
  <c r="J32" i="1"/>
  <c r="I32" i="1"/>
  <c r="R31" i="1"/>
  <c r="Q31" i="1"/>
  <c r="N31" i="1"/>
  <c r="M31" i="1"/>
  <c r="J31" i="1"/>
  <c r="I31" i="1"/>
  <c r="R30" i="1"/>
  <c r="Q30" i="1"/>
  <c r="N30" i="1"/>
  <c r="M30" i="1"/>
  <c r="J30" i="1"/>
  <c r="I30" i="1"/>
  <c r="R29" i="1"/>
  <c r="Q29" i="1"/>
  <c r="N29" i="1"/>
  <c r="M29" i="1"/>
  <c r="J29" i="1"/>
  <c r="I29" i="1"/>
  <c r="R23" i="1"/>
  <c r="Q23" i="1"/>
  <c r="N23" i="1"/>
  <c r="M23" i="1"/>
  <c r="J23" i="1"/>
  <c r="I23" i="1"/>
  <c r="R22" i="1"/>
  <c r="Q22" i="1"/>
  <c r="N22" i="1"/>
  <c r="M22" i="1"/>
  <c r="J22" i="1"/>
  <c r="I22" i="1"/>
  <c r="R21" i="1"/>
  <c r="Q21" i="1"/>
  <c r="N21" i="1"/>
  <c r="M21" i="1"/>
  <c r="J21" i="1"/>
  <c r="I21" i="1"/>
  <c r="R20" i="1"/>
  <c r="Q20" i="1"/>
  <c r="N20" i="1"/>
  <c r="M20" i="1"/>
  <c r="J20" i="1"/>
  <c r="I20" i="1"/>
  <c r="R19" i="1"/>
  <c r="Q19" i="1"/>
  <c r="N19" i="1"/>
  <c r="M19" i="1"/>
  <c r="J19" i="1"/>
  <c r="I19" i="1"/>
  <c r="R18" i="1"/>
  <c r="Q18" i="1"/>
  <c r="N18" i="1"/>
  <c r="M18" i="1"/>
  <c r="J18" i="1"/>
  <c r="I18" i="1"/>
  <c r="R17" i="1"/>
  <c r="Q17" i="1"/>
  <c r="N17" i="1"/>
  <c r="M17" i="1"/>
  <c r="J17" i="1"/>
  <c r="I17" i="1"/>
  <c r="R16" i="1"/>
  <c r="Q16" i="1"/>
  <c r="N16" i="1"/>
  <c r="M16" i="1"/>
  <c r="J16" i="1"/>
  <c r="I16" i="1"/>
  <c r="C36" i="1"/>
  <c r="C35" i="1"/>
  <c r="C34" i="1"/>
  <c r="C33" i="1"/>
  <c r="C32" i="1"/>
  <c r="C31" i="1"/>
  <c r="C30" i="1"/>
  <c r="C29" i="1"/>
  <c r="C23" i="1"/>
  <c r="C22" i="1"/>
  <c r="C21" i="1"/>
  <c r="C20" i="1"/>
  <c r="C19" i="1"/>
  <c r="C18" i="1"/>
  <c r="C17" i="1"/>
  <c r="C16" i="1"/>
  <c r="F36" i="1"/>
  <c r="E36" i="1"/>
  <c r="F35" i="1"/>
  <c r="E35" i="1"/>
  <c r="F34" i="1"/>
  <c r="E34" i="1"/>
  <c r="F33" i="1"/>
  <c r="E33" i="1"/>
  <c r="F32" i="1"/>
  <c r="E32" i="1"/>
  <c r="F31" i="1"/>
  <c r="E31" i="1"/>
  <c r="F30" i="1"/>
  <c r="E30" i="1"/>
  <c r="F29" i="1"/>
  <c r="E29" i="1"/>
  <c r="F23" i="1"/>
  <c r="E23" i="1"/>
  <c r="F22" i="1"/>
  <c r="E22" i="1"/>
  <c r="F21" i="1"/>
  <c r="E21" i="1"/>
  <c r="F20" i="1"/>
  <c r="E20" i="1"/>
  <c r="F19" i="1"/>
  <c r="E19" i="1"/>
  <c r="F18" i="1"/>
  <c r="E18" i="1"/>
  <c r="F17" i="1"/>
  <c r="E17" i="1"/>
  <c r="F16" i="1"/>
  <c r="E16" i="1"/>
</calcChain>
</file>

<file path=xl/sharedStrings.xml><?xml version="1.0" encoding="utf-8"?>
<sst xmlns="http://schemas.openxmlformats.org/spreadsheetml/2006/main" count="84" uniqueCount="42">
  <si>
    <t>PARADISE PROJECT</t>
  </si>
  <si>
    <t>eCRF-Document 24b: Opvolgtool piekdruk en ontlasting (Novel pedar)</t>
  </si>
  <si>
    <t>Studie titel:</t>
  </si>
  <si>
    <t>Towards Pressure-Adherence &amp; Education Driven Service in Diabetic Foot Disease (PARADISE trial)</t>
  </si>
  <si>
    <t>Protocolnummer:</t>
  </si>
  <si>
    <t>S71769</t>
  </si>
  <si>
    <t>Studielocatie:</t>
  </si>
  <si>
    <t>Deelnemerscode:</t>
  </si>
  <si>
    <t>Datum meting:</t>
  </si>
  <si>
    <t>Toestel:</t>
  </si>
  <si>
    <t>Novel pedar</t>
  </si>
  <si>
    <t>Visite:</t>
  </si>
  <si>
    <t>V2 / V4 / V6 / V8 (omcirkelen)</t>
  </si>
  <si>
    <t>Doelregio?</t>
  </si>
  <si>
    <t>Visite 2</t>
  </si>
  <si>
    <t>Visite 4</t>
  </si>
  <si>
    <t>Visite 6</t>
  </si>
  <si>
    <t>Visite 8</t>
  </si>
  <si>
    <t>Doel behaald?</t>
  </si>
  <si>
    <t>Hiel</t>
  </si>
  <si>
    <t>Mediale middenvoet</t>
  </si>
  <si>
    <t>Laterale middenvoet</t>
  </si>
  <si>
    <t>Metatarsaal 1</t>
  </si>
  <si>
    <t>Metatarsaal 2-3</t>
  </si>
  <si>
    <t>Metatarsaal 4-5</t>
  </si>
  <si>
    <t>Hallux</t>
  </si>
  <si>
    <t>Tenen 2-5</t>
  </si>
  <si>
    <t>Richtlijnen (PARADISE-offloadingdoel)</t>
  </si>
  <si>
    <t>Datum van deze opname:</t>
  </si>
  <si>
    <t>LINKS - regio van de vorige voetzweer:</t>
  </si>
  <si>
    <t>kies uit de lijst; leeg laten als er aan deze voet geen voetzweer was</t>
  </si>
  <si>
    <t>Piekdruk met zool (kPa)</t>
  </si>
  <si>
    <t>RECHTS - regio van de vorige voetzweer:</t>
  </si>
  <si>
    <t>Schermafbeelding van het MPP-beeld (novel studio)</t>
  </si>
  <si>
    <t>Plak hieronder de schermafbeelding van het MPP-beeld, met de kleurenschaal erbij, voor de visite die bovenaan staat. Windows + Shift + S om te knippen, Ctrl + V om te plakken; de afbeelding mag het gearceerde vak overlappen.</t>
  </si>
  <si>
    <t>[ plak hier de schermafbeelding van het MPP-beeld ]</t>
  </si>
  <si>
    <t>Regio</t>
  </si>
  <si>
    <t>Zonder zool (kPa)</t>
  </si>
  <si>
    <t>% lager dan zonder zool</t>
  </si>
  <si>
    <t>Zonder zool op visite 2 (kPa)</t>
  </si>
  <si>
    <t>Aanvullend hulpmiddel bij eCRF-document 9 (baseline plantaire drukmeting) en eCRF-document 24 (meting drukherverdeling voetorthese) — ondersteunt de klinische opvolging van de doelregio's doorheen de studie, alleen in Optimal Care. Vervangt de papieren eCRF-documenten niet.</t>
  </si>
  <si>
    <t>Doelregio's per voet: de regio van de vorige voetzweer - altijd, ook onder 200 kPa - plus de twee regio's in voorvoet of middenvoet met de hoogste piekdruk boven 200 kPa zonder zool. De hiel telt alleen mee als daar de vorige voetzweer zat. Beide worden automatisch als DOELREGIO gemarkeerd; de vorige voetzweer kies je bovenaan bij elke voet.
Norm per doelregio: piekdruk met zool onder 200 kPa, OF minstens 25% lager dan zonder zool op dezelfde visite (in-shoe, in hetzelfde schoeisel, zonder de CMFO). Meet op elke visite eerst zonder en dan met zool. Noteer de waarde na de laatste aanpassing; tot drie aanpassingen per visite.
Is de norm niet gehaald (NEE), of kleurt een piekdruk oranje omdat ze 5% of meer hoger ligt dan de vorige visite, dan wordt de CMFO aangepast volgens eCRF 23 en opnieuw gemeten.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</si>
</sst>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Calibri"/>
    </font>
    <font>
      <b/>
      <sz val="13"/>
      <color rgb="FF00407A"/>
      <name val="Calibri"/>
    </font>
    <font>
      <i/>
      <sz val="9.5"/>
      <color rgb="FF2E3B47"/>
      <name val="Calibri"/>
    </font>
    <font>
      <b/>
      <sz val="11"/>
      <color rgb="FF2E3B47"/>
      <name val="Calibri"/>
    </font>
    <font>
      <sz val="11"/>
      <color rgb="FF2E3B47"/>
      <name val="Calibri"/>
    </font>
    <font>
      <b/>
      <sz val="11"/>
      <color rgb="FFFFFFFF"/>
      <name val="Calibri"/>
    </font>
    <font>
      <b/>
      <sz val="9"/>
      <color rgb="FFFFFFFF"/>
      <name val="Calibri"/>
    </font>
    <font>
      <sz val="9"/>
      <color rgb="FF2E3B47"/>
      <name val="Calibri"/>
    </font>
    <font>
      <sz val="10"/>
      <color rgb="FF2E3B47"/>
      <name val="Calibri"/>
    </font>
    <font>
      <i/>
      <sz val="11"/>
      <color rgb="FF9AAAB8"/>
      <name val="Calibri"/>
    </font>
    <font>
      <b/>
      <sz val="10"/>
      <color rgb="FF2E3B47"/>
      <name val="Calibri"/>
    </font>
    <font>
      <b/>
      <sz val="11"/>
      <color rgb="FF000000"/>
      <name val="Calibri"/>
      <family val="2"/>
      <scheme val="minor"/>
    </font>
    <font>
      <i/>
      <sz val="11"/>
      <color theme="1"/>
      <name val="Calibri"/>
      <family val="2"/>
      <scheme val="minor"/>
    </font>
  </fonts>
  <fills count="8">
    <fill>
      <patternFill patternType="none"/>
    </fill>
    <fill>
      <patternFill patternType="gray125"/>
    </fill>
    <fill>
      <patternFill patternType="solid">
        <fgColor rgb="FF00407A"/>
      </patternFill>
    </fill>
    <fill>
      <patternFill patternType="solid">
        <fgColor rgb="FF1D8DB0"/>
      </patternFill>
    </fill>
    <fill>
      <patternFill patternType="solid">
        <fgColor rgb="FFEAF3F8"/>
      </patternFill>
    </fill>
    <fill>
      <patternFill patternType="solid">
        <fgColor rgb="FFFF7A00"/>
      </patternFill>
    </fill>
    <fill>
      <patternFill patternType="solid">
        <fgColor rgb="FFF7FAFC"/>
      </patternFill>
    </fill>
    <fill>
      <patternFill patternType="solid">
        <fgColor rgb="FFFFFFFF"/>
        <bgColor indexed="64"/>
      </patternFill>
    </fill>
  </fills>
  <borders count="14">
    <border>
      <left/>
      <right/>
      <top/>
      <bottom/>
      <diagonal/>
    </border>
    <border>
      <left style="thin">
        <color rgb="FFB9C7D1"/>
      </left>
      <right style="thin">
        <color rgb="FFB9C7D1"/>
      </right>
      <top style="thin">
        <color rgb="FFB9C7D1"/>
      </top>
      <bottom style="thin">
        <color rgb="FFB9C7D1"/>
      </bottom>
      <diagonal/>
    </border>
    <border>
      <left style="dashed">
        <color rgb="FF8FA6B8"/>
      </left>
      <right style="dashed">
        <color rgb="FF8FA6B8"/>
      </right>
      <top style="dashed">
        <color rgb="FF8FA6B8"/>
      </top>
      <bottom style="dashed">
        <color rgb="FF8FA6B8"/>
      </bottom>
      <diagonal/>
    </border>
    <border>
      <left/>
      <right/>
      <top style="dashed">
        <color rgb="FF8FA6B8"/>
      </top>
      <bottom/>
      <diagonal/>
    </border>
    <border>
      <left style="dashed">
        <color rgb="FF8FA6B8"/>
      </left>
      <right/>
      <top/>
      <bottom/>
      <diagonal/>
    </border>
    <border>
      <left/>
      <right style="dashed">
        <color rgb="FF8FA6B8"/>
      </right>
      <top style="dashed">
        <color rgb="FF8FA6B8"/>
      </top>
      <bottom/>
      <diagonal/>
    </border>
    <border>
      <left/>
      <right style="dashed">
        <color rgb="FF8FA6B8"/>
      </right>
      <top/>
      <bottom/>
      <diagonal/>
    </border>
    <border>
      <left style="dashed">
        <color rgb="FF8FA6B8"/>
      </left>
      <right/>
      <top/>
      <bottom style="dashed">
        <color rgb="FF8FA6B8"/>
      </bottom>
      <diagonal/>
    </border>
    <border>
      <left/>
      <right/>
      <top/>
      <bottom style="dashed">
        <color rgb="FF8FA6B8"/>
      </bottom>
      <diagonal/>
    </border>
    <border>
      <left/>
      <right style="dashed">
        <color rgb="FF8FA6B8"/>
      </right>
      <top/>
      <bottom style="dashed">
        <color rgb="FF8FA6B8"/>
      </bottom>
      <diagonal/>
    </border>
    <border>
      <left/>
      <right/>
      <top style="thin">
        <color rgb="FFB9C7D1"/>
      </top>
      <bottom style="thin">
        <color rgb="FFB9C7D1"/>
      </bottom>
      <diagonal/>
    </border>
    <border>
      <left/>
      <right style="thin">
        <color rgb="FFB9C7D1"/>
      </right>
      <top style="thin">
        <color rgb="FFB9C7D1"/>
      </top>
      <bottom style="thin">
        <color rgb="FFB9C7D1"/>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2">
    <xf numFmtId="0" fontId="0" fillId="0" borderId="0" xfId="0"/>
    <xf numFmtId="0" fontId="4" fillId="0" borderId="0" xfId="0" applyFont="1"/>
    <xf numFmtId="0" fontId="5" fillId="0" borderId="0" xfId="0" applyFont="1"/>
    <xf numFmtId="0" fontId="7" fillId="3" borderId="0" xfId="0" applyFont="1" applyFill="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11" fillId="0" borderId="0" xfId="0" applyFont="1" applyAlignment="1">
      <alignment horizontal="left" vertical="center" wrapText="1"/>
    </xf>
    <xf numFmtId="0" fontId="1" fillId="2" borderId="0" xfId="0" applyFont="1" applyFill="1" applyAlignment="1">
      <alignment horizontal="left" vertical="center" wrapText="1"/>
    </xf>
    <xf numFmtId="0" fontId="0" fillId="0" borderId="0" xfId="0"/>
    <xf numFmtId="0" fontId="0" fillId="0" borderId="1" xfId="0" applyBorder="1"/>
    <xf numFmtId="0" fontId="0" fillId="0" borderId="10" xfId="0" applyBorder="1"/>
    <xf numFmtId="0" fontId="0" fillId="0" borderId="11" xfId="0" applyBorder="1"/>
    <xf numFmtId="0" fontId="6" fillId="2" borderId="0" xfId="0" applyFont="1" applyFill="1" applyAlignment="1">
      <alignment horizontal="center" vertical="center" wrapText="1"/>
    </xf>
    <xf numFmtId="0" fontId="6" fillId="3" borderId="0" xfId="0" applyFont="1" applyFill="1" applyAlignment="1">
      <alignment horizontal="left" vertical="center" wrapText="1"/>
    </xf>
    <xf numFmtId="0" fontId="12" fillId="7" borderId="12" xfId="0" applyFont="1" applyFill="1" applyBorder="1"/>
    <xf numFmtId="0" fontId="13" fillId="0" borderId="13" xfId="0" applyFont="1" applyBorder="1"/>
    <xf numFmtId="0" fontId="2" fillId="0" borderId="0" xfId="0" applyFont="1" applyAlignment="1">
      <alignment horizontal="left" vertical="center" wrapText="1"/>
    </xf>
    <xf numFmtId="0" fontId="5" fillId="0" borderId="0" xfId="0" applyFont="1"/>
    <xf numFmtId="0" fontId="3" fillId="0" borderId="0" xfId="0" applyFont="1" applyAlignment="1">
      <alignment horizontal="left" vertical="center" wrapText="1"/>
    </xf>
    <xf numFmtId="0" fontId="10" fillId="6" borderId="2" xfId="0" applyFont="1" applyFill="1" applyBorder="1" applyAlignment="1">
      <alignment horizontal="center" vertical="center"/>
    </xf>
    <xf numFmtId="0" fontId="0" fillId="0" borderId="3"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6" fillId="5" borderId="0" xfId="0" applyFont="1" applyFill="1" applyAlignment="1">
      <alignment horizontal="left" vertical="center" wrapText="1"/>
    </xf>
    <xf numFmtId="0" fontId="9" fillId="0" borderId="0" xfId="0" applyFont="1" applyAlignment="1">
      <alignment horizontal="left" vertical="center" wrapText="1"/>
    </xf>
    <xf numFmtId="0" fontId="0" fillId="0" borderId="0" xfId="0" applyBorder="1"/>
  </cellXfs>
  <cellStyles count="1">
    <cellStyle name="Standaard" xfId="0" builtinId="0"/>
  </cellStyles>
  <dxfs count="6">
    <dxf>
      <fill>
        <patternFill>
          <bgColor rgb="FFFFC78C"/>
        </patternFill>
      </fill>
    </dxf>
    <dxf>
      <fill>
        <patternFill>
          <bgColor rgb="FFFFC78C"/>
        </patternFill>
      </fill>
    </dxf>
    <dxf>
      <fill>
        <patternFill>
          <bgColor rgb="FFFFC78C"/>
        </patternFill>
      </fill>
    </dxf>
    <dxf>
      <fill>
        <patternFill>
          <bgColor rgb="FFFFC78C"/>
        </patternFill>
      </fill>
    </dxf>
    <dxf>
      <fill>
        <patternFill>
          <bgColor rgb="FFFFC78C"/>
        </patternFill>
      </fill>
    </dxf>
    <dxf>
      <fill>
        <patternFill>
          <bgColor rgb="FFFFC78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1"/>
  <sheetViews>
    <sheetView tabSelected="1" workbookViewId="0">
      <pane ySplit="5" topLeftCell="A6" activePane="bottomLeft" state="frozen"/>
      <selection pane="bottomLeft" activeCell="O29" sqref="O29:O36"/>
    </sheetView>
  </sheetViews>
  <sheetFormatPr defaultRowHeight="14.5" x14ac:dyDescent="0.35"/>
  <cols>
    <col min="1" max="1" width="22" customWidth="1"/>
    <col min="2" max="2" width="15" customWidth="1"/>
    <col min="3" max="3" width="16" customWidth="1"/>
    <col min="4" max="4" width="14" customWidth="1"/>
    <col min="5" max="6" width="13" customWidth="1"/>
    <col min="7" max="8" width="14" customWidth="1"/>
    <col min="9" max="10" width="13" customWidth="1"/>
    <col min="11" max="12" width="14" customWidth="1"/>
    <col min="13" max="14" width="13" customWidth="1"/>
    <col min="15" max="16" width="14" customWidth="1"/>
    <col min="17" max="18" width="13" customWidth="1"/>
  </cols>
  <sheetData>
    <row r="1" spans="1:18" ht="26.15" customHeight="1" x14ac:dyDescent="0.35">
      <c r="A1" s="9" t="s">
        <v>0</v>
      </c>
      <c r="B1" s="10"/>
      <c r="C1" s="10"/>
      <c r="D1" s="10"/>
      <c r="E1" s="10"/>
      <c r="F1" s="10"/>
      <c r="G1" s="10"/>
      <c r="H1" s="10"/>
      <c r="I1" s="10"/>
      <c r="J1" s="10"/>
      <c r="K1" s="10"/>
      <c r="L1" s="10"/>
      <c r="M1" s="10"/>
      <c r="N1" s="10"/>
      <c r="O1" s="10"/>
      <c r="P1" s="10"/>
      <c r="Q1" s="10"/>
      <c r="R1" s="10"/>
    </row>
    <row r="2" spans="1:18" x14ac:dyDescent="0.35">
      <c r="A2" s="18" t="s">
        <v>1</v>
      </c>
      <c r="B2" s="10"/>
      <c r="C2" s="10"/>
      <c r="D2" s="10"/>
      <c r="E2" s="10"/>
      <c r="F2" s="10"/>
      <c r="G2" s="10"/>
      <c r="H2" s="10"/>
      <c r="I2" s="10"/>
      <c r="J2" s="10"/>
      <c r="K2" s="10"/>
      <c r="L2" s="10"/>
      <c r="M2" s="10"/>
      <c r="N2" s="10"/>
      <c r="O2" s="10"/>
      <c r="P2" s="10"/>
      <c r="Q2" s="10"/>
      <c r="R2" s="10"/>
    </row>
    <row r="3" spans="1:18" ht="28" customHeight="1" x14ac:dyDescent="0.35">
      <c r="A3" s="20" t="s">
        <v>40</v>
      </c>
      <c r="B3" s="10"/>
      <c r="C3" s="10"/>
      <c r="D3" s="10"/>
      <c r="E3" s="10"/>
      <c r="F3" s="10"/>
      <c r="G3" s="10"/>
      <c r="H3" s="10"/>
      <c r="I3" s="10"/>
      <c r="J3" s="10"/>
      <c r="K3" s="10"/>
      <c r="L3" s="10"/>
      <c r="M3" s="10"/>
      <c r="N3" s="10"/>
      <c r="O3" s="10"/>
      <c r="P3" s="10"/>
      <c r="Q3" s="10"/>
      <c r="R3" s="10"/>
    </row>
    <row r="5" spans="1:18" x14ac:dyDescent="0.35">
      <c r="A5" s="1" t="s">
        <v>2</v>
      </c>
      <c r="C5" s="2" t="s">
        <v>3</v>
      </c>
    </row>
    <row r="6" spans="1:18" x14ac:dyDescent="0.35">
      <c r="A6" s="1" t="s">
        <v>4</v>
      </c>
      <c r="C6" s="2" t="s">
        <v>5</v>
      </c>
    </row>
    <row r="7" spans="1:18" x14ac:dyDescent="0.35">
      <c r="A7" s="1" t="s">
        <v>6</v>
      </c>
      <c r="C7" s="2"/>
      <c r="H7" s="1" t="s">
        <v>7</v>
      </c>
      <c r="J7" s="2"/>
      <c r="K7" s="2"/>
    </row>
    <row r="8" spans="1:18" x14ac:dyDescent="0.35">
      <c r="A8" s="1" t="s">
        <v>8</v>
      </c>
      <c r="C8" s="2"/>
      <c r="H8" s="1" t="s">
        <v>9</v>
      </c>
      <c r="J8" s="2" t="s">
        <v>10</v>
      </c>
      <c r="K8" s="2"/>
    </row>
    <row r="9" spans="1:18" x14ac:dyDescent="0.35">
      <c r="A9" s="1" t="s">
        <v>11</v>
      </c>
      <c r="C9" s="2" t="s">
        <v>12</v>
      </c>
    </row>
    <row r="12" spans="1:18" ht="18" customHeight="1" x14ac:dyDescent="0.35">
      <c r="A12" s="15" t="s">
        <v>29</v>
      </c>
      <c r="B12" s="15"/>
      <c r="C12" s="15"/>
      <c r="D12" s="15"/>
      <c r="E12" s="16"/>
      <c r="F12" s="16"/>
      <c r="G12" s="16"/>
      <c r="H12" s="16"/>
      <c r="I12" s="17" t="s">
        <v>30</v>
      </c>
      <c r="J12" s="10"/>
      <c r="K12" s="10"/>
      <c r="L12" s="10"/>
      <c r="M12" s="10"/>
      <c r="N12" s="10"/>
      <c r="O12" s="10"/>
      <c r="P12" s="10"/>
      <c r="Q12" s="10"/>
      <c r="R12" s="10"/>
    </row>
    <row r="13" spans="1:18" x14ac:dyDescent="0.35">
      <c r="A13" s="19"/>
      <c r="B13" s="10"/>
      <c r="C13" s="10"/>
      <c r="D13" s="10"/>
      <c r="E13" s="10"/>
      <c r="F13" s="10"/>
      <c r="G13" s="10"/>
      <c r="H13" s="10"/>
      <c r="I13" s="10"/>
      <c r="J13" s="10"/>
      <c r="K13" s="10"/>
      <c r="L13" s="10"/>
      <c r="M13" s="10"/>
      <c r="N13" s="10"/>
      <c r="O13" s="10"/>
      <c r="P13" s="10"/>
      <c r="Q13" s="10"/>
      <c r="R13" s="10"/>
    </row>
    <row r="14" spans="1:18" ht="16" customHeight="1" x14ac:dyDescent="0.35">
      <c r="A14" s="14" t="s">
        <v>36</v>
      </c>
      <c r="B14" s="14" t="s">
        <v>39</v>
      </c>
      <c r="C14" s="14" t="s">
        <v>13</v>
      </c>
      <c r="D14" s="14" t="s">
        <v>14</v>
      </c>
      <c r="E14" s="10"/>
      <c r="F14" s="10"/>
      <c r="G14" s="14" t="s">
        <v>15</v>
      </c>
      <c r="H14" s="14"/>
      <c r="I14" s="14"/>
      <c r="J14" s="14"/>
      <c r="K14" s="14" t="s">
        <v>16</v>
      </c>
      <c r="L14" s="14"/>
      <c r="M14" s="14"/>
      <c r="N14" s="14"/>
      <c r="O14" s="14" t="s">
        <v>17</v>
      </c>
      <c r="P14" s="14"/>
      <c r="Q14" s="14"/>
      <c r="R14" s="14"/>
    </row>
    <row r="15" spans="1:18" ht="28" customHeight="1" x14ac:dyDescent="0.35">
      <c r="A15" s="10"/>
      <c r="B15" s="10"/>
      <c r="C15" s="10"/>
      <c r="D15" s="3" t="s">
        <v>31</v>
      </c>
      <c r="E15" s="3" t="s">
        <v>38</v>
      </c>
      <c r="F15" s="3" t="s">
        <v>18</v>
      </c>
      <c r="G15" s="3" t="s">
        <v>37</v>
      </c>
      <c r="H15" s="3" t="s">
        <v>31</v>
      </c>
      <c r="I15" s="3" t="s">
        <v>38</v>
      </c>
      <c r="J15" s="3" t="s">
        <v>18</v>
      </c>
      <c r="K15" s="3" t="s">
        <v>37</v>
      </c>
      <c r="L15" s="3" t="s">
        <v>31</v>
      </c>
      <c r="M15" s="3" t="s">
        <v>38</v>
      </c>
      <c r="N15" s="3" t="s">
        <v>18</v>
      </c>
      <c r="O15" s="3" t="s">
        <v>37</v>
      </c>
      <c r="P15" s="3" t="s">
        <v>31</v>
      </c>
      <c r="Q15" s="3" t="s">
        <v>38</v>
      </c>
      <c r="R15" s="3" t="s">
        <v>18</v>
      </c>
    </row>
    <row r="16" spans="1:18" x14ac:dyDescent="0.35">
      <c r="A16" s="4" t="s">
        <v>19</v>
      </c>
      <c r="B16" s="5"/>
      <c r="C16" s="6" t="str">
        <f>IF($E$12=$A16,"DOELREGIO","")</f>
        <v/>
      </c>
      <c r="D16" s="5"/>
      <c r="E16" s="6" t="str">
        <f t="shared" ref="E16:E23" si="0">IF(OR($B16="",D16=""),"",ROUND(($B16-D16)/$B16*100,1))</f>
        <v/>
      </c>
      <c r="F16" s="7" t="str">
        <f t="shared" ref="F16:F23" si="1">IF(OR($B16="",D16=""),"",IF(OR(D16&lt;200,($B16-D16)/$B16&gt;=0.25),"JA","NEE"))</f>
        <v/>
      </c>
      <c r="G16" s="5"/>
      <c r="H16" s="5"/>
      <c r="I16" s="6" t="str">
        <f>IF(OR(G16="",H16=""),"",ROUND((G16-H16)/G16*100,1))</f>
        <v/>
      </c>
      <c r="J16" s="7" t="str">
        <f>IF(OR(G16="",H16=""),"",IF(OR(H16&lt;200,(G16-H16)/G16&gt;=0.25),"JA","NEE"))</f>
        <v/>
      </c>
      <c r="K16" s="5"/>
      <c r="L16" s="5"/>
      <c r="M16" s="6" t="str">
        <f>IF(OR(K16="",L16=""),"",ROUND((K16-L16)/K16*100,1))</f>
        <v/>
      </c>
      <c r="N16" s="7" t="str">
        <f>IF(OR(K16="",L16=""),"",IF(OR(L16&lt;200,(K16-L16)/K16&gt;=0.25),"JA","NEE"))</f>
        <v/>
      </c>
      <c r="O16" s="5"/>
      <c r="P16" s="5"/>
      <c r="Q16" s="6" t="str">
        <f>IF(OR(O16="",P16=""),"",ROUND((O16-P16)/O16*100,1))</f>
        <v/>
      </c>
      <c r="R16" s="7" t="str">
        <f>IF(OR(O16="",P16=""),"",IF(OR(P16&lt;200,(O16-P16)/O16&gt;=0.25),"JA","NEE"))</f>
        <v/>
      </c>
    </row>
    <row r="17" spans="1:18" x14ac:dyDescent="0.35">
      <c r="A17" s="4" t="s">
        <v>20</v>
      </c>
      <c r="B17" s="5"/>
      <c r="C17" s="6" t="str">
        <f t="shared" ref="C17:C23" si="2">IF($E$12=$A17,"DOELREGIO",IF(B17="","",IF(AND(B17&gt;200,RANK(B17,$B$17:$B$23)&lt;=2),"DOELREGIO","")))</f>
        <v/>
      </c>
      <c r="D17" s="5"/>
      <c r="E17" s="6" t="str">
        <f t="shared" si="0"/>
        <v/>
      </c>
      <c r="F17" s="7" t="str">
        <f t="shared" si="1"/>
        <v/>
      </c>
      <c r="G17" s="5"/>
      <c r="H17" s="5"/>
      <c r="I17" s="6" t="str">
        <f>IF(OR(G17="",H17=""),"",ROUND((G17-H17)/G17*100,1))</f>
        <v/>
      </c>
      <c r="J17" s="7" t="str">
        <f>IF(OR(G17="",H17=""),"",IF(OR(H17&lt;200,(G17-H17)/G17&gt;=0.25),"JA","NEE"))</f>
        <v/>
      </c>
      <c r="K17" s="5"/>
      <c r="L17" s="5"/>
      <c r="M17" s="6" t="str">
        <f>IF(OR(K17="",L17=""),"",ROUND((K17-L17)/K17*100,1))</f>
        <v/>
      </c>
      <c r="N17" s="7" t="str">
        <f>IF(OR(K17="",L17=""),"",IF(OR(L17&lt;200,(K17-L17)/K17&gt;=0.25),"JA","NEE"))</f>
        <v/>
      </c>
      <c r="O17" s="5"/>
      <c r="P17" s="5"/>
      <c r="Q17" s="6" t="str">
        <f>IF(OR(O17="",P17=""),"",ROUND((O17-P17)/O17*100,1))</f>
        <v/>
      </c>
      <c r="R17" s="7" t="str">
        <f>IF(OR(O17="",P17=""),"",IF(OR(P17&lt;200,(O17-P17)/O17&gt;=0.25),"JA","NEE"))</f>
        <v/>
      </c>
    </row>
    <row r="18" spans="1:18" x14ac:dyDescent="0.35">
      <c r="A18" s="4" t="s">
        <v>21</v>
      </c>
      <c r="B18" s="5"/>
      <c r="C18" s="6" t="str">
        <f t="shared" si="2"/>
        <v/>
      </c>
      <c r="D18" s="5"/>
      <c r="E18" s="6" t="str">
        <f t="shared" si="0"/>
        <v/>
      </c>
      <c r="F18" s="7" t="str">
        <f t="shared" si="1"/>
        <v/>
      </c>
      <c r="G18" s="5"/>
      <c r="H18" s="5"/>
      <c r="I18" s="6" t="str">
        <f>IF(OR(G18="",H18=""),"",ROUND((G18-H18)/G18*100,1))</f>
        <v/>
      </c>
      <c r="J18" s="7" t="str">
        <f>IF(OR(G18="",H18=""),"",IF(OR(H18&lt;200,(G18-H18)/G18&gt;=0.25),"JA","NEE"))</f>
        <v/>
      </c>
      <c r="K18" s="5"/>
      <c r="L18" s="5"/>
      <c r="M18" s="6" t="str">
        <f>IF(OR(K18="",L18=""),"",ROUND((K18-L18)/K18*100,1))</f>
        <v/>
      </c>
      <c r="N18" s="7" t="str">
        <f>IF(OR(K18="",L18=""),"",IF(OR(L18&lt;200,(K18-L18)/K18&gt;=0.25),"JA","NEE"))</f>
        <v/>
      </c>
      <c r="O18" s="5"/>
      <c r="P18" s="5"/>
      <c r="Q18" s="6" t="str">
        <f>IF(OR(O18="",P18=""),"",ROUND((O18-P18)/O18*100,1))</f>
        <v/>
      </c>
      <c r="R18" s="7" t="str">
        <f>IF(OR(O18="",P18=""),"",IF(OR(P18&lt;200,(O18-P18)/O18&gt;=0.25),"JA","NEE"))</f>
        <v/>
      </c>
    </row>
    <row r="19" spans="1:18" x14ac:dyDescent="0.35">
      <c r="A19" s="4" t="s">
        <v>22</v>
      </c>
      <c r="B19" s="5"/>
      <c r="C19" s="6" t="str">
        <f t="shared" si="2"/>
        <v/>
      </c>
      <c r="D19" s="5"/>
      <c r="E19" s="6" t="str">
        <f t="shared" si="0"/>
        <v/>
      </c>
      <c r="F19" s="7" t="str">
        <f t="shared" si="1"/>
        <v/>
      </c>
      <c r="G19" s="5"/>
      <c r="H19" s="5"/>
      <c r="I19" s="6" t="str">
        <f>IF(OR(G19="",H19=""),"",ROUND((G19-H19)/G19*100,1))</f>
        <v/>
      </c>
      <c r="J19" s="7" t="str">
        <f>IF(OR(G19="",H19=""),"",IF(OR(H19&lt;200,(G19-H19)/G19&gt;=0.25),"JA","NEE"))</f>
        <v/>
      </c>
      <c r="K19" s="5"/>
      <c r="L19" s="5"/>
      <c r="M19" s="6" t="str">
        <f>IF(OR(K19="",L19=""),"",ROUND((K19-L19)/K19*100,1))</f>
        <v/>
      </c>
      <c r="N19" s="7" t="str">
        <f>IF(OR(K19="",L19=""),"",IF(OR(L19&lt;200,(K19-L19)/K19&gt;=0.25),"JA","NEE"))</f>
        <v/>
      </c>
      <c r="O19" s="5"/>
      <c r="P19" s="5"/>
      <c r="Q19" s="6" t="str">
        <f>IF(OR(O19="",P19=""),"",ROUND((O19-P19)/O19*100,1))</f>
        <v/>
      </c>
      <c r="R19" s="7" t="str">
        <f>IF(OR(O19="",P19=""),"",IF(OR(P19&lt;200,(O19-P19)/O19&gt;=0.25),"JA","NEE"))</f>
        <v/>
      </c>
    </row>
    <row r="20" spans="1:18" x14ac:dyDescent="0.35">
      <c r="A20" s="4" t="s">
        <v>23</v>
      </c>
      <c r="B20" s="5"/>
      <c r="C20" s="6" t="str">
        <f t="shared" si="2"/>
        <v/>
      </c>
      <c r="D20" s="5"/>
      <c r="E20" s="6" t="str">
        <f t="shared" si="0"/>
        <v/>
      </c>
      <c r="F20" s="7" t="str">
        <f t="shared" si="1"/>
        <v/>
      </c>
      <c r="G20" s="5"/>
      <c r="H20" s="5"/>
      <c r="I20" s="6" t="str">
        <f>IF(OR(G20="",H20=""),"",ROUND((G20-H20)/G20*100,1))</f>
        <v/>
      </c>
      <c r="J20" s="7" t="str">
        <f>IF(OR(G20="",H20=""),"",IF(OR(H20&lt;200,(G20-H20)/G20&gt;=0.25),"JA","NEE"))</f>
        <v/>
      </c>
      <c r="K20" s="5"/>
      <c r="L20" s="5"/>
      <c r="M20" s="6" t="str">
        <f>IF(OR(K20="",L20=""),"",ROUND((K20-L20)/K20*100,1))</f>
        <v/>
      </c>
      <c r="N20" s="7" t="str">
        <f>IF(OR(K20="",L20=""),"",IF(OR(L20&lt;200,(K20-L20)/K20&gt;=0.25),"JA","NEE"))</f>
        <v/>
      </c>
      <c r="O20" s="5"/>
      <c r="P20" s="5"/>
      <c r="Q20" s="6" t="str">
        <f>IF(OR(O20="",P20=""),"",ROUND((O20-P20)/O20*100,1))</f>
        <v/>
      </c>
      <c r="R20" s="7" t="str">
        <f>IF(OR(O20="",P20=""),"",IF(OR(P20&lt;200,(O20-P20)/O20&gt;=0.25),"JA","NEE"))</f>
        <v/>
      </c>
    </row>
    <row r="21" spans="1:18" x14ac:dyDescent="0.35">
      <c r="A21" s="4" t="s">
        <v>24</v>
      </c>
      <c r="B21" s="5"/>
      <c r="C21" s="6" t="str">
        <f t="shared" si="2"/>
        <v/>
      </c>
      <c r="D21" s="5"/>
      <c r="E21" s="6" t="str">
        <f t="shared" si="0"/>
        <v/>
      </c>
      <c r="F21" s="7" t="str">
        <f t="shared" si="1"/>
        <v/>
      </c>
      <c r="G21" s="5"/>
      <c r="H21" s="5"/>
      <c r="I21" s="6" t="str">
        <f>IF(OR(G21="",H21=""),"",ROUND((G21-H21)/G21*100,1))</f>
        <v/>
      </c>
      <c r="J21" s="7" t="str">
        <f>IF(OR(G21="",H21=""),"",IF(OR(H21&lt;200,(G21-H21)/G21&gt;=0.25),"JA","NEE"))</f>
        <v/>
      </c>
      <c r="K21" s="5"/>
      <c r="L21" s="5"/>
      <c r="M21" s="6" t="str">
        <f>IF(OR(K21="",L21=""),"",ROUND((K21-L21)/K21*100,1))</f>
        <v/>
      </c>
      <c r="N21" s="7" t="str">
        <f>IF(OR(K21="",L21=""),"",IF(OR(L21&lt;200,(K21-L21)/K21&gt;=0.25),"JA","NEE"))</f>
        <v/>
      </c>
      <c r="O21" s="5"/>
      <c r="P21" s="5"/>
      <c r="Q21" s="6" t="str">
        <f>IF(OR(O21="",P21=""),"",ROUND((O21-P21)/O21*100,1))</f>
        <v/>
      </c>
      <c r="R21" s="7" t="str">
        <f>IF(OR(O21="",P21=""),"",IF(OR(P21&lt;200,(O21-P21)/O21&gt;=0.25),"JA","NEE"))</f>
        <v/>
      </c>
    </row>
    <row r="22" spans="1:18" x14ac:dyDescent="0.35">
      <c r="A22" s="4" t="s">
        <v>25</v>
      </c>
      <c r="B22" s="5"/>
      <c r="C22" s="6" t="str">
        <f t="shared" si="2"/>
        <v/>
      </c>
      <c r="D22" s="5"/>
      <c r="E22" s="6" t="str">
        <f t="shared" si="0"/>
        <v/>
      </c>
      <c r="F22" s="7" t="str">
        <f t="shared" si="1"/>
        <v/>
      </c>
      <c r="G22" s="5"/>
      <c r="H22" s="5"/>
      <c r="I22" s="6" t="str">
        <f>IF(OR(G22="",H22=""),"",ROUND((G22-H22)/G22*100,1))</f>
        <v/>
      </c>
      <c r="J22" s="7" t="str">
        <f>IF(OR(G22="",H22=""),"",IF(OR(H22&lt;200,(G22-H22)/G22&gt;=0.25),"JA","NEE"))</f>
        <v/>
      </c>
      <c r="K22" s="5"/>
      <c r="L22" s="5"/>
      <c r="M22" s="6" t="str">
        <f>IF(OR(K22="",L22=""),"",ROUND((K22-L22)/K22*100,1))</f>
        <v/>
      </c>
      <c r="N22" s="7" t="str">
        <f>IF(OR(K22="",L22=""),"",IF(OR(L22&lt;200,(K22-L22)/K22&gt;=0.25),"JA","NEE"))</f>
        <v/>
      </c>
      <c r="O22" s="5"/>
      <c r="P22" s="5"/>
      <c r="Q22" s="6" t="str">
        <f>IF(OR(O22="",P22=""),"",ROUND((O22-P22)/O22*100,1))</f>
        <v/>
      </c>
      <c r="R22" s="7" t="str">
        <f>IF(OR(O22="",P22=""),"",IF(OR(P22&lt;200,(O22-P22)/O22&gt;=0.25),"JA","NEE"))</f>
        <v/>
      </c>
    </row>
    <row r="23" spans="1:18" x14ac:dyDescent="0.35">
      <c r="A23" s="4" t="s">
        <v>26</v>
      </c>
      <c r="B23" s="5"/>
      <c r="C23" s="6" t="str">
        <f t="shared" si="2"/>
        <v/>
      </c>
      <c r="D23" s="5"/>
      <c r="E23" s="6" t="str">
        <f t="shared" si="0"/>
        <v/>
      </c>
      <c r="F23" s="7" t="str">
        <f t="shared" si="1"/>
        <v/>
      </c>
      <c r="G23" s="5"/>
      <c r="H23" s="5"/>
      <c r="I23" s="6" t="str">
        <f>IF(OR(G23="",H23=""),"",ROUND((G23-H23)/G23*100,1))</f>
        <v/>
      </c>
      <c r="J23" s="7" t="str">
        <f>IF(OR(G23="",H23=""),"",IF(OR(H23&lt;200,(G23-H23)/G23&gt;=0.25),"JA","NEE"))</f>
        <v/>
      </c>
      <c r="K23" s="5"/>
      <c r="L23" s="5"/>
      <c r="M23" s="6" t="str">
        <f>IF(OR(K23="",L23=""),"",ROUND((K23-L23)/K23*100,1))</f>
        <v/>
      </c>
      <c r="N23" s="7" t="str">
        <f>IF(OR(K23="",L23=""),"",IF(OR(L23&lt;200,(K23-L23)/K23&gt;=0.25),"JA","NEE"))</f>
        <v/>
      </c>
      <c r="O23" s="5"/>
      <c r="P23" s="5"/>
      <c r="Q23" s="6" t="str">
        <f>IF(OR(O23="",P23=""),"",ROUND((O23-P23)/O23*100,1))</f>
        <v/>
      </c>
      <c r="R23" s="7" t="str">
        <f>IF(OR(O23="",P23=""),"",IF(OR(P23&lt;200,(O23-P23)/O23&gt;=0.25),"JA","NEE"))</f>
        <v/>
      </c>
    </row>
    <row r="25" spans="1:18" ht="18" customHeight="1" x14ac:dyDescent="0.35">
      <c r="A25" s="15" t="s">
        <v>32</v>
      </c>
      <c r="B25" s="15"/>
      <c r="C25" s="15"/>
      <c r="D25" s="15"/>
      <c r="E25" s="16"/>
      <c r="F25" s="16"/>
      <c r="G25" s="16"/>
      <c r="H25" s="16"/>
      <c r="I25" s="17" t="s">
        <v>30</v>
      </c>
      <c r="J25" s="10"/>
      <c r="K25" s="10"/>
      <c r="L25" s="10"/>
      <c r="M25" s="10"/>
      <c r="N25" s="10"/>
      <c r="O25" s="10"/>
      <c r="P25" s="10"/>
      <c r="Q25" s="10"/>
      <c r="R25" s="10"/>
    </row>
    <row r="26" spans="1:18" x14ac:dyDescent="0.35">
      <c r="A26" s="19"/>
      <c r="B26" s="10"/>
      <c r="C26" s="10"/>
      <c r="D26" s="10"/>
      <c r="E26" s="10"/>
      <c r="F26" s="10"/>
      <c r="G26" s="10"/>
      <c r="H26" s="10"/>
      <c r="I26" s="10"/>
      <c r="J26" s="10"/>
      <c r="K26" s="10"/>
      <c r="L26" s="10"/>
      <c r="M26" s="10"/>
      <c r="N26" s="10"/>
      <c r="O26" s="10"/>
      <c r="P26" s="10"/>
      <c r="Q26" s="10"/>
      <c r="R26" s="10"/>
    </row>
    <row r="27" spans="1:18" ht="16" customHeight="1" x14ac:dyDescent="0.35">
      <c r="A27" s="14" t="s">
        <v>36</v>
      </c>
      <c r="B27" s="14" t="s">
        <v>39</v>
      </c>
      <c r="C27" s="14" t="s">
        <v>13</v>
      </c>
      <c r="D27" s="14" t="s">
        <v>14</v>
      </c>
      <c r="E27" s="10"/>
      <c r="F27" s="10"/>
      <c r="G27" s="14" t="s">
        <v>15</v>
      </c>
      <c r="H27" s="14"/>
      <c r="I27" s="14"/>
      <c r="J27" s="14"/>
      <c r="K27" s="14" t="s">
        <v>16</v>
      </c>
      <c r="L27" s="14"/>
      <c r="M27" s="14"/>
      <c r="N27" s="14"/>
      <c r="O27" s="14" t="s">
        <v>17</v>
      </c>
      <c r="P27" s="14"/>
      <c r="Q27" s="14"/>
      <c r="R27" s="14"/>
    </row>
    <row r="28" spans="1:18" ht="28" customHeight="1" x14ac:dyDescent="0.35">
      <c r="A28" s="10"/>
      <c r="B28" s="10"/>
      <c r="C28" s="10"/>
      <c r="D28" s="3" t="s">
        <v>31</v>
      </c>
      <c r="E28" s="3" t="s">
        <v>38</v>
      </c>
      <c r="F28" s="3" t="s">
        <v>18</v>
      </c>
      <c r="G28" s="3" t="s">
        <v>37</v>
      </c>
      <c r="H28" s="3" t="s">
        <v>31</v>
      </c>
      <c r="I28" s="3" t="s">
        <v>38</v>
      </c>
      <c r="J28" s="3" t="s">
        <v>18</v>
      </c>
      <c r="K28" s="3" t="s">
        <v>37</v>
      </c>
      <c r="L28" s="3" t="s">
        <v>31</v>
      </c>
      <c r="M28" s="3" t="s">
        <v>38</v>
      </c>
      <c r="N28" s="3" t="s">
        <v>18</v>
      </c>
      <c r="O28" s="3" t="s">
        <v>37</v>
      </c>
      <c r="P28" s="3" t="s">
        <v>31</v>
      </c>
      <c r="Q28" s="3" t="s">
        <v>38</v>
      </c>
      <c r="R28" s="3" t="s">
        <v>18</v>
      </c>
    </row>
    <row r="29" spans="1:18" x14ac:dyDescent="0.35">
      <c r="A29" s="4" t="s">
        <v>19</v>
      </c>
      <c r="B29" s="5"/>
      <c r="C29" s="6" t="str">
        <f>IF($E$25=$A29,"DOELREGIO","")</f>
        <v/>
      </c>
      <c r="D29" s="5"/>
      <c r="E29" s="6" t="str">
        <f t="shared" ref="E29:E36" si="3">IF(OR($B29="",D29=""),"",ROUND(($B29-D29)/$B29*100,1))</f>
        <v/>
      </c>
      <c r="F29" s="7" t="str">
        <f t="shared" ref="F29:F36" si="4">IF(OR($B29="",D29=""),"",IF(OR(D29&lt;200,($B29-D29)/$B29&gt;=0.25),"JA","NEE"))</f>
        <v/>
      </c>
      <c r="G29" s="5"/>
      <c r="H29" s="5"/>
      <c r="I29" s="6" t="str">
        <f>IF(OR(G29="",H29=""),"",ROUND((G29-H29)/G29*100,1))</f>
        <v/>
      </c>
      <c r="J29" s="7" t="str">
        <f>IF(OR(G29="",H29=""),"",IF(OR(H29&lt;200,(G29-H29)/G29&gt;=0.25),"JA","NEE"))</f>
        <v/>
      </c>
      <c r="K29" s="5"/>
      <c r="L29" s="5"/>
      <c r="M29" s="6" t="str">
        <f>IF(OR(K29="",L29=""),"",ROUND((K29-L29)/K29*100,1))</f>
        <v/>
      </c>
      <c r="N29" s="7" t="str">
        <f>IF(OR(K29="",L29=""),"",IF(OR(L29&lt;200,(K29-L29)/K29&gt;=0.25),"JA","NEE"))</f>
        <v/>
      </c>
      <c r="O29" s="5"/>
      <c r="P29" s="5"/>
      <c r="Q29" s="6" t="str">
        <f>IF(OR(O29="",P29=""),"",ROUND((O29-P29)/O29*100,1))</f>
        <v/>
      </c>
      <c r="R29" s="7" t="str">
        <f>IF(OR(O29="",P29=""),"",IF(OR(P29&lt;200,(O29-P29)/O29&gt;=0.25),"JA","NEE"))</f>
        <v/>
      </c>
    </row>
    <row r="30" spans="1:18" x14ac:dyDescent="0.35">
      <c r="A30" s="4" t="s">
        <v>20</v>
      </c>
      <c r="B30" s="5"/>
      <c r="C30" s="6" t="str">
        <f t="shared" ref="C30:C36" si="5">IF($E$25=$A30,"DOELREGIO",IF(B30="","",IF(AND(B30&gt;200,RANK(B30,$B$30:$B$36)&lt;=2),"DOELREGIO","")))</f>
        <v/>
      </c>
      <c r="D30" s="5"/>
      <c r="E30" s="6" t="str">
        <f t="shared" si="3"/>
        <v/>
      </c>
      <c r="F30" s="7" t="str">
        <f t="shared" si="4"/>
        <v/>
      </c>
      <c r="G30" s="5"/>
      <c r="H30" s="5"/>
      <c r="I30" s="6" t="str">
        <f>IF(OR(G30="",H30=""),"",ROUND((G30-H30)/G30*100,1))</f>
        <v/>
      </c>
      <c r="J30" s="7" t="str">
        <f>IF(OR(G30="",H30=""),"",IF(OR(H30&lt;200,(G30-H30)/G30&gt;=0.25),"JA","NEE"))</f>
        <v/>
      </c>
      <c r="K30" s="5"/>
      <c r="L30" s="5"/>
      <c r="M30" s="6" t="str">
        <f>IF(OR(K30="",L30=""),"",ROUND((K30-L30)/K30*100,1))</f>
        <v/>
      </c>
      <c r="N30" s="7" t="str">
        <f>IF(OR(K30="",L30=""),"",IF(OR(L30&lt;200,(K30-L30)/K30&gt;=0.25),"JA","NEE"))</f>
        <v/>
      </c>
      <c r="O30" s="5"/>
      <c r="P30" s="5"/>
      <c r="Q30" s="6" t="str">
        <f>IF(OR(O30="",P30=""),"",ROUND((O30-P30)/O30*100,1))</f>
        <v/>
      </c>
      <c r="R30" s="7" t="str">
        <f>IF(OR(O30="",P30=""),"",IF(OR(P30&lt;200,(O30-P30)/O30&gt;=0.25),"JA","NEE"))</f>
        <v/>
      </c>
    </row>
    <row r="31" spans="1:18" x14ac:dyDescent="0.35">
      <c r="A31" s="4" t="s">
        <v>21</v>
      </c>
      <c r="B31" s="5"/>
      <c r="C31" s="6" t="str">
        <f t="shared" si="5"/>
        <v/>
      </c>
      <c r="D31" s="5"/>
      <c r="E31" s="6" t="str">
        <f t="shared" si="3"/>
        <v/>
      </c>
      <c r="F31" s="7" t="str">
        <f t="shared" si="4"/>
        <v/>
      </c>
      <c r="G31" s="5"/>
      <c r="H31" s="5"/>
      <c r="I31" s="6" t="str">
        <f>IF(OR(G31="",H31=""),"",ROUND((G31-H31)/G31*100,1))</f>
        <v/>
      </c>
      <c r="J31" s="7" t="str">
        <f>IF(OR(G31="",H31=""),"",IF(OR(H31&lt;200,(G31-H31)/G31&gt;=0.25),"JA","NEE"))</f>
        <v/>
      </c>
      <c r="K31" s="5"/>
      <c r="L31" s="5"/>
      <c r="M31" s="6" t="str">
        <f>IF(OR(K31="",L31=""),"",ROUND((K31-L31)/K31*100,1))</f>
        <v/>
      </c>
      <c r="N31" s="7" t="str">
        <f>IF(OR(K31="",L31=""),"",IF(OR(L31&lt;200,(K31-L31)/K31&gt;=0.25),"JA","NEE"))</f>
        <v/>
      </c>
      <c r="O31" s="5"/>
      <c r="P31" s="5"/>
      <c r="Q31" s="6" t="str">
        <f>IF(OR(O31="",P31=""),"",ROUND((O31-P31)/O31*100,1))</f>
        <v/>
      </c>
      <c r="R31" s="7" t="str">
        <f>IF(OR(O31="",P31=""),"",IF(OR(P31&lt;200,(O31-P31)/O31&gt;=0.25),"JA","NEE"))</f>
        <v/>
      </c>
    </row>
    <row r="32" spans="1:18" x14ac:dyDescent="0.35">
      <c r="A32" s="4" t="s">
        <v>22</v>
      </c>
      <c r="B32" s="5"/>
      <c r="C32" s="6" t="str">
        <f t="shared" si="5"/>
        <v/>
      </c>
      <c r="D32" s="5"/>
      <c r="E32" s="6" t="str">
        <f t="shared" si="3"/>
        <v/>
      </c>
      <c r="F32" s="7" t="str">
        <f t="shared" si="4"/>
        <v/>
      </c>
      <c r="G32" s="5"/>
      <c r="H32" s="5"/>
      <c r="I32" s="6" t="str">
        <f>IF(OR(G32="",H32=""),"",ROUND((G32-H32)/G32*100,1))</f>
        <v/>
      </c>
      <c r="J32" s="7" t="str">
        <f>IF(OR(G32="",H32=""),"",IF(OR(H32&lt;200,(G32-H32)/G32&gt;=0.25),"JA","NEE"))</f>
        <v/>
      </c>
      <c r="K32" s="5"/>
      <c r="L32" s="5"/>
      <c r="M32" s="6" t="str">
        <f>IF(OR(K32="",L32=""),"",ROUND((K32-L32)/K32*100,1))</f>
        <v/>
      </c>
      <c r="N32" s="7" t="str">
        <f>IF(OR(K32="",L32=""),"",IF(OR(L32&lt;200,(K32-L32)/K32&gt;=0.25),"JA","NEE"))</f>
        <v/>
      </c>
      <c r="O32" s="5"/>
      <c r="P32" s="5"/>
      <c r="Q32" s="6" t="str">
        <f>IF(OR(O32="",P32=""),"",ROUND((O32-P32)/O32*100,1))</f>
        <v/>
      </c>
      <c r="R32" s="7" t="str">
        <f>IF(OR(O32="",P32=""),"",IF(OR(P32&lt;200,(O32-P32)/O32&gt;=0.25),"JA","NEE"))</f>
        <v/>
      </c>
    </row>
    <row r="33" spans="1:18" x14ac:dyDescent="0.35">
      <c r="A33" s="4" t="s">
        <v>23</v>
      </c>
      <c r="B33" s="5"/>
      <c r="C33" s="6" t="str">
        <f t="shared" si="5"/>
        <v/>
      </c>
      <c r="D33" s="5"/>
      <c r="E33" s="6" t="str">
        <f t="shared" si="3"/>
        <v/>
      </c>
      <c r="F33" s="7" t="str">
        <f t="shared" si="4"/>
        <v/>
      </c>
      <c r="G33" s="5"/>
      <c r="H33" s="5"/>
      <c r="I33" s="6" t="str">
        <f>IF(OR(G33="",H33=""),"",ROUND((G33-H33)/G33*100,1))</f>
        <v/>
      </c>
      <c r="J33" s="7" t="str">
        <f>IF(OR(G33="",H33=""),"",IF(OR(H33&lt;200,(G33-H33)/G33&gt;=0.25),"JA","NEE"))</f>
        <v/>
      </c>
      <c r="K33" s="5"/>
      <c r="L33" s="5"/>
      <c r="M33" s="6" t="str">
        <f>IF(OR(K33="",L33=""),"",ROUND((K33-L33)/K33*100,1))</f>
        <v/>
      </c>
      <c r="N33" s="7" t="str">
        <f>IF(OR(K33="",L33=""),"",IF(OR(L33&lt;200,(K33-L33)/K33&gt;=0.25),"JA","NEE"))</f>
        <v/>
      </c>
      <c r="O33" s="5"/>
      <c r="P33" s="5"/>
      <c r="Q33" s="6" t="str">
        <f>IF(OR(O33="",P33=""),"",ROUND((O33-P33)/O33*100,1))</f>
        <v/>
      </c>
      <c r="R33" s="7" t="str">
        <f>IF(OR(O33="",P33=""),"",IF(OR(P33&lt;200,(O33-P33)/O33&gt;=0.25),"JA","NEE"))</f>
        <v/>
      </c>
    </row>
    <row r="34" spans="1:18" x14ac:dyDescent="0.35">
      <c r="A34" s="4" t="s">
        <v>24</v>
      </c>
      <c r="B34" s="5"/>
      <c r="C34" s="6" t="str">
        <f t="shared" si="5"/>
        <v/>
      </c>
      <c r="D34" s="5"/>
      <c r="E34" s="6" t="str">
        <f t="shared" si="3"/>
        <v/>
      </c>
      <c r="F34" s="7" t="str">
        <f t="shared" si="4"/>
        <v/>
      </c>
      <c r="G34" s="5"/>
      <c r="H34" s="5"/>
      <c r="I34" s="6" t="str">
        <f>IF(OR(G34="",H34=""),"",ROUND((G34-H34)/G34*100,1))</f>
        <v/>
      </c>
      <c r="J34" s="7" t="str">
        <f>IF(OR(G34="",H34=""),"",IF(OR(H34&lt;200,(G34-H34)/G34&gt;=0.25),"JA","NEE"))</f>
        <v/>
      </c>
      <c r="K34" s="5"/>
      <c r="L34" s="5"/>
      <c r="M34" s="6" t="str">
        <f>IF(OR(K34="",L34=""),"",ROUND((K34-L34)/K34*100,1))</f>
        <v/>
      </c>
      <c r="N34" s="7" t="str">
        <f>IF(OR(K34="",L34=""),"",IF(OR(L34&lt;200,(K34-L34)/K34&gt;=0.25),"JA","NEE"))</f>
        <v/>
      </c>
      <c r="O34" s="5"/>
      <c r="P34" s="5"/>
      <c r="Q34" s="6" t="str">
        <f>IF(OR(O34="",P34=""),"",ROUND((O34-P34)/O34*100,1))</f>
        <v/>
      </c>
      <c r="R34" s="7" t="str">
        <f>IF(OR(O34="",P34=""),"",IF(OR(P34&lt;200,(O34-P34)/O34&gt;=0.25),"JA","NEE"))</f>
        <v/>
      </c>
    </row>
    <row r="35" spans="1:18" x14ac:dyDescent="0.35">
      <c r="A35" s="4" t="s">
        <v>25</v>
      </c>
      <c r="B35" s="5"/>
      <c r="C35" s="6" t="str">
        <f t="shared" si="5"/>
        <v/>
      </c>
      <c r="D35" s="5"/>
      <c r="E35" s="6" t="str">
        <f t="shared" si="3"/>
        <v/>
      </c>
      <c r="F35" s="7" t="str">
        <f t="shared" si="4"/>
        <v/>
      </c>
      <c r="G35" s="5"/>
      <c r="H35" s="5"/>
      <c r="I35" s="6" t="str">
        <f>IF(OR(G35="",H35=""),"",ROUND((G35-H35)/G35*100,1))</f>
        <v/>
      </c>
      <c r="J35" s="7" t="str">
        <f>IF(OR(G35="",H35=""),"",IF(OR(H35&lt;200,(G35-H35)/G35&gt;=0.25),"JA","NEE"))</f>
        <v/>
      </c>
      <c r="K35" s="5"/>
      <c r="L35" s="5"/>
      <c r="M35" s="6" t="str">
        <f>IF(OR(K35="",L35=""),"",ROUND((K35-L35)/K35*100,1))</f>
        <v/>
      </c>
      <c r="N35" s="7" t="str">
        <f>IF(OR(K35="",L35=""),"",IF(OR(L35&lt;200,(K35-L35)/K35&gt;=0.25),"JA","NEE"))</f>
        <v/>
      </c>
      <c r="O35" s="5"/>
      <c r="P35" s="5"/>
      <c r="Q35" s="6" t="str">
        <f>IF(OR(O35="",P35=""),"",ROUND((O35-P35)/O35*100,1))</f>
        <v/>
      </c>
      <c r="R35" s="7" t="str">
        <f>IF(OR(O35="",P35=""),"",IF(OR(P35&lt;200,(O35-P35)/O35&gt;=0.25),"JA","NEE"))</f>
        <v/>
      </c>
    </row>
    <row r="36" spans="1:18" x14ac:dyDescent="0.35">
      <c r="A36" s="4" t="s">
        <v>26</v>
      </c>
      <c r="B36" s="5"/>
      <c r="C36" s="6" t="str">
        <f t="shared" si="5"/>
        <v/>
      </c>
      <c r="D36" s="5"/>
      <c r="E36" s="6" t="str">
        <f t="shared" si="3"/>
        <v/>
      </c>
      <c r="F36" s="7" t="str">
        <f t="shared" si="4"/>
        <v/>
      </c>
      <c r="G36" s="5"/>
      <c r="H36" s="5"/>
      <c r="I36" s="6" t="str">
        <f>IF(OR(G36="",H36=""),"",ROUND((G36-H36)/G36*100,1))</f>
        <v/>
      </c>
      <c r="J36" s="7" t="str">
        <f>IF(OR(G36="",H36=""),"",IF(OR(H36&lt;200,(G36-H36)/G36&gt;=0.25),"JA","NEE"))</f>
        <v/>
      </c>
      <c r="K36" s="5"/>
      <c r="L36" s="5"/>
      <c r="M36" s="6" t="str">
        <f>IF(OR(K36="",L36=""),"",ROUND((K36-L36)/K36*100,1))</f>
        <v/>
      </c>
      <c r="N36" s="7" t="str">
        <f>IF(OR(K36="",L36=""),"",IF(OR(L36&lt;200,(K36-L36)/K36&gt;=0.25),"JA","NEE"))</f>
        <v/>
      </c>
      <c r="O36" s="5"/>
      <c r="P36" s="5"/>
      <c r="Q36" s="6" t="str">
        <f>IF(OR(O36="",P36=""),"",ROUND((O36-P36)/O36*100,1))</f>
        <v/>
      </c>
      <c r="R36" s="7" t="str">
        <f>IF(OR(O36="",P36=""),"",IF(OR(P36&lt;200,(O36-P36)/O36&gt;=0.25),"JA","NEE"))</f>
        <v/>
      </c>
    </row>
    <row r="39" spans="1:18" ht="18" customHeight="1" x14ac:dyDescent="0.35">
      <c r="A39" s="29" t="s">
        <v>27</v>
      </c>
      <c r="B39" s="10"/>
      <c r="C39" s="10"/>
      <c r="D39" s="10"/>
      <c r="E39" s="10"/>
      <c r="F39" s="10"/>
      <c r="G39" s="10"/>
      <c r="H39" s="10"/>
      <c r="I39" s="10"/>
      <c r="J39" s="10"/>
      <c r="K39" s="10"/>
      <c r="L39" s="10"/>
      <c r="M39" s="10"/>
      <c r="N39" s="10"/>
      <c r="O39" s="10"/>
      <c r="P39" s="10"/>
      <c r="Q39" s="10"/>
      <c r="R39" s="10"/>
    </row>
    <row r="40" spans="1:18" ht="90" customHeight="1" x14ac:dyDescent="0.35">
      <c r="A40" s="30" t="s">
        <v>41</v>
      </c>
      <c r="B40" s="10"/>
      <c r="C40" s="10"/>
      <c r="D40" s="10"/>
      <c r="E40" s="10"/>
      <c r="F40" s="10"/>
      <c r="G40" s="10"/>
      <c r="H40" s="10"/>
      <c r="I40" s="10"/>
      <c r="J40" s="10"/>
      <c r="K40" s="10"/>
      <c r="L40" s="10"/>
      <c r="M40" s="10"/>
      <c r="N40" s="10"/>
      <c r="O40" s="10"/>
      <c r="P40" s="10"/>
      <c r="Q40" s="10"/>
      <c r="R40" s="10"/>
    </row>
    <row r="41" spans="1:18" x14ac:dyDescent="0.35">
      <c r="A41" s="10"/>
      <c r="B41" s="10"/>
      <c r="C41" s="10"/>
      <c r="D41" s="10"/>
      <c r="E41" s="10"/>
      <c r="F41" s="10"/>
      <c r="G41" s="10"/>
      <c r="H41" s="10"/>
      <c r="I41" s="10"/>
      <c r="J41" s="10"/>
      <c r="K41" s="10"/>
      <c r="L41" s="10"/>
      <c r="M41" s="10"/>
      <c r="N41" s="10"/>
      <c r="O41" s="10"/>
      <c r="P41" s="10"/>
      <c r="Q41" s="10"/>
      <c r="R41" s="10"/>
    </row>
    <row r="42" spans="1:18" x14ac:dyDescent="0.35">
      <c r="A42" s="10"/>
      <c r="B42" s="10"/>
      <c r="C42" s="10"/>
      <c r="D42" s="10"/>
      <c r="E42" s="10"/>
      <c r="F42" s="10"/>
      <c r="G42" s="10"/>
      <c r="H42" s="10"/>
      <c r="I42" s="10"/>
      <c r="J42" s="10"/>
      <c r="K42" s="10"/>
      <c r="L42" s="10"/>
      <c r="M42" s="10"/>
      <c r="N42" s="10"/>
      <c r="O42" s="10"/>
      <c r="P42" s="10"/>
      <c r="Q42" s="10"/>
      <c r="R42" s="10"/>
    </row>
    <row r="44" spans="1:18" ht="18" customHeight="1" x14ac:dyDescent="0.35">
      <c r="A44" s="29" t="s">
        <v>33</v>
      </c>
      <c r="B44" s="10"/>
      <c r="C44" s="10"/>
      <c r="D44" s="10"/>
      <c r="E44" s="10"/>
      <c r="F44" s="10"/>
      <c r="G44" s="10"/>
      <c r="H44" s="10"/>
      <c r="I44" s="10"/>
      <c r="J44" s="10"/>
      <c r="K44" s="10"/>
      <c r="L44" s="10"/>
      <c r="M44" s="10"/>
      <c r="N44" s="10"/>
      <c r="O44" s="10"/>
      <c r="P44" s="10"/>
      <c r="Q44" s="10"/>
      <c r="R44" s="10"/>
    </row>
    <row r="45" spans="1:18" ht="16" customHeight="1" x14ac:dyDescent="0.35">
      <c r="A45" s="20" t="s">
        <v>34</v>
      </c>
      <c r="B45" s="10"/>
      <c r="C45" s="10"/>
      <c r="D45" s="10"/>
      <c r="E45" s="10"/>
      <c r="F45" s="10"/>
      <c r="G45" s="10"/>
      <c r="H45" s="10"/>
      <c r="I45" s="10"/>
      <c r="J45" s="10"/>
      <c r="K45" s="10"/>
      <c r="L45" s="10"/>
      <c r="M45" s="10"/>
      <c r="N45" s="10"/>
      <c r="O45" s="10"/>
      <c r="P45" s="10"/>
      <c r="Q45" s="10"/>
      <c r="R45" s="10"/>
    </row>
    <row r="46" spans="1:18" ht="16" customHeight="1" x14ac:dyDescent="0.35">
      <c r="A46" s="10"/>
      <c r="B46" s="10"/>
      <c r="C46" s="10"/>
      <c r="D46" s="10"/>
      <c r="E46" s="10"/>
      <c r="F46" s="10"/>
      <c r="G46" s="10"/>
      <c r="H46" s="10"/>
      <c r="I46" s="10"/>
      <c r="J46" s="10"/>
      <c r="K46" s="10"/>
      <c r="L46" s="10"/>
      <c r="M46" s="10"/>
      <c r="N46" s="10"/>
      <c r="O46" s="10"/>
      <c r="P46" s="10"/>
      <c r="Q46" s="10"/>
      <c r="R46" s="10"/>
    </row>
    <row r="48" spans="1:18" x14ac:dyDescent="0.35">
      <c r="A48" s="21" t="s">
        <v>35</v>
      </c>
      <c r="B48" s="22"/>
      <c r="C48" s="22"/>
      <c r="D48" s="22"/>
      <c r="E48" s="22"/>
      <c r="F48" s="22"/>
      <c r="G48" s="22"/>
      <c r="H48" s="22"/>
      <c r="I48" s="22"/>
      <c r="J48" s="22"/>
      <c r="K48" s="22"/>
      <c r="L48" s="22"/>
      <c r="M48" s="22"/>
      <c r="N48" s="22"/>
      <c r="O48" s="22"/>
      <c r="P48" s="22"/>
      <c r="Q48" s="22"/>
      <c r="R48" s="23"/>
    </row>
    <row r="49" spans="1:18" x14ac:dyDescent="0.35">
      <c r="A49" s="24"/>
      <c r="B49" s="10"/>
      <c r="C49" s="10"/>
      <c r="D49" s="10"/>
      <c r="E49" s="10"/>
      <c r="F49" s="10"/>
      <c r="G49" s="10"/>
      <c r="H49" s="10"/>
      <c r="I49" s="10"/>
      <c r="J49" s="10"/>
      <c r="K49" s="10"/>
      <c r="L49" s="10"/>
      <c r="M49" s="10"/>
      <c r="N49" s="10"/>
      <c r="O49" s="10"/>
      <c r="P49" s="10"/>
      <c r="Q49" s="10"/>
      <c r="R49" s="25"/>
    </row>
    <row r="50" spans="1:18" x14ac:dyDescent="0.35">
      <c r="A50" s="24"/>
      <c r="B50" s="10"/>
      <c r="C50" s="10"/>
      <c r="D50" s="10"/>
      <c r="E50" s="10"/>
      <c r="F50" s="10"/>
      <c r="G50" s="10"/>
      <c r="H50" s="10"/>
      <c r="I50" s="10"/>
      <c r="J50" s="10"/>
      <c r="K50" s="10"/>
      <c r="L50" s="10"/>
      <c r="M50" s="10"/>
      <c r="N50" s="10"/>
      <c r="O50" s="10"/>
      <c r="P50" s="10"/>
      <c r="Q50" s="10"/>
      <c r="R50" s="25"/>
    </row>
    <row r="51" spans="1:18" x14ac:dyDescent="0.35">
      <c r="A51" s="24"/>
      <c r="B51" s="10"/>
      <c r="C51" s="10"/>
      <c r="D51" s="10"/>
      <c r="E51" s="10"/>
      <c r="F51" s="10"/>
      <c r="G51" s="10"/>
      <c r="H51" s="10"/>
      <c r="I51" s="10"/>
      <c r="J51" s="10"/>
      <c r="K51" s="10"/>
      <c r="L51" s="10"/>
      <c r="M51" s="10"/>
      <c r="N51" s="10"/>
      <c r="O51" s="10"/>
      <c r="P51" s="10"/>
      <c r="Q51" s="10"/>
      <c r="R51" s="25"/>
    </row>
    <row r="52" spans="1:18" x14ac:dyDescent="0.35">
      <c r="A52" s="24"/>
      <c r="B52" s="10"/>
      <c r="C52" s="10"/>
      <c r="D52" s="10"/>
      <c r="E52" s="10"/>
      <c r="F52" s="10"/>
      <c r="G52" s="10"/>
      <c r="H52" s="10"/>
      <c r="I52" s="10"/>
      <c r="J52" s="10"/>
      <c r="K52" s="10"/>
      <c r="L52" s="10"/>
      <c r="M52" s="10"/>
      <c r="N52" s="10"/>
      <c r="O52" s="10"/>
      <c r="P52" s="10"/>
      <c r="Q52" s="10"/>
      <c r="R52" s="25"/>
    </row>
    <row r="53" spans="1:18" x14ac:dyDescent="0.35">
      <c r="A53" s="24"/>
      <c r="B53" s="10"/>
      <c r="C53" s="10"/>
      <c r="D53" s="10"/>
      <c r="E53" s="10"/>
      <c r="F53" s="10"/>
      <c r="G53" s="10"/>
      <c r="H53" s="10"/>
      <c r="I53" s="10"/>
      <c r="J53" s="10"/>
      <c r="K53" s="10"/>
      <c r="L53" s="10"/>
      <c r="M53" s="10"/>
      <c r="N53" s="10"/>
      <c r="O53" s="10"/>
      <c r="P53" s="10"/>
      <c r="Q53" s="10"/>
      <c r="R53" s="25"/>
    </row>
    <row r="54" spans="1:18" x14ac:dyDescent="0.35">
      <c r="A54" s="24"/>
      <c r="B54" s="10"/>
      <c r="C54" s="10"/>
      <c r="D54" s="10"/>
      <c r="E54" s="10"/>
      <c r="F54" s="10"/>
      <c r="G54" s="10"/>
      <c r="H54" s="10"/>
      <c r="I54" s="10"/>
      <c r="J54" s="10"/>
      <c r="K54" s="10"/>
      <c r="L54" s="10"/>
      <c r="M54" s="10"/>
      <c r="N54" s="10"/>
      <c r="O54" s="10"/>
      <c r="P54" s="10"/>
      <c r="Q54" s="10"/>
      <c r="R54" s="25"/>
    </row>
    <row r="55" spans="1:18" x14ac:dyDescent="0.35">
      <c r="A55" s="24"/>
      <c r="B55" s="10"/>
      <c r="C55" s="10"/>
      <c r="D55" s="10"/>
      <c r="E55" s="10"/>
      <c r="F55" s="10"/>
      <c r="G55" s="10"/>
      <c r="H55" s="10"/>
      <c r="I55" s="10"/>
      <c r="J55" s="10"/>
      <c r="K55" s="10"/>
      <c r="L55" s="10"/>
      <c r="M55" s="10"/>
      <c r="N55" s="10"/>
      <c r="O55" s="10"/>
      <c r="P55" s="10"/>
      <c r="Q55" s="10"/>
      <c r="R55" s="25"/>
    </row>
    <row r="56" spans="1:18" x14ac:dyDescent="0.35">
      <c r="A56" s="24"/>
      <c r="B56" s="10"/>
      <c r="C56" s="10"/>
      <c r="D56" s="10"/>
      <c r="E56" s="10"/>
      <c r="F56" s="10"/>
      <c r="G56" s="10"/>
      <c r="H56" s="10"/>
      <c r="I56" s="10"/>
      <c r="J56" s="10"/>
      <c r="K56" s="10"/>
      <c r="L56" s="10"/>
      <c r="M56" s="10"/>
      <c r="N56" s="10"/>
      <c r="O56" s="10"/>
      <c r="P56" s="10"/>
      <c r="Q56" s="10"/>
      <c r="R56" s="25"/>
    </row>
    <row r="57" spans="1:18" x14ac:dyDescent="0.35">
      <c r="A57" s="24"/>
      <c r="B57" s="10"/>
      <c r="C57" s="10"/>
      <c r="D57" s="10"/>
      <c r="E57" s="10"/>
      <c r="F57" s="10"/>
      <c r="G57" s="10"/>
      <c r="H57" s="10"/>
      <c r="I57" s="10"/>
      <c r="J57" s="10"/>
      <c r="K57" s="10"/>
      <c r="L57" s="10"/>
      <c r="M57" s="10"/>
      <c r="N57" s="10"/>
      <c r="O57" s="10"/>
      <c r="P57" s="10"/>
      <c r="Q57" s="10"/>
      <c r="R57" s="25"/>
    </row>
    <row r="58" spans="1:18" x14ac:dyDescent="0.35">
      <c r="A58" s="24"/>
      <c r="B58" s="10"/>
      <c r="C58" s="10"/>
      <c r="D58" s="10"/>
      <c r="E58" s="10"/>
      <c r="F58" s="10"/>
      <c r="G58" s="10"/>
      <c r="H58" s="10"/>
      <c r="I58" s="10"/>
      <c r="J58" s="10"/>
      <c r="K58" s="10"/>
      <c r="L58" s="10"/>
      <c r="M58" s="10"/>
      <c r="N58" s="10"/>
      <c r="O58" s="10"/>
      <c r="P58" s="10"/>
      <c r="Q58" s="10"/>
      <c r="R58" s="25"/>
    </row>
    <row r="59" spans="1:18" x14ac:dyDescent="0.35">
      <c r="A59" s="24"/>
      <c r="B59" s="10"/>
      <c r="C59" s="10"/>
      <c r="D59" s="10"/>
      <c r="E59" s="10"/>
      <c r="F59" s="10"/>
      <c r="G59" s="10"/>
      <c r="H59" s="10"/>
      <c r="I59" s="10"/>
      <c r="J59" s="10"/>
      <c r="K59" s="10"/>
      <c r="L59" s="10"/>
      <c r="M59" s="10"/>
      <c r="N59" s="10"/>
      <c r="O59" s="10"/>
      <c r="P59" s="10"/>
      <c r="Q59" s="10"/>
      <c r="R59" s="25"/>
    </row>
    <row r="60" spans="1:18" x14ac:dyDescent="0.35">
      <c r="A60" s="24"/>
      <c r="B60" s="10"/>
      <c r="C60" s="10"/>
      <c r="D60" s="10"/>
      <c r="E60" s="10"/>
      <c r="F60" s="10"/>
      <c r="G60" s="10"/>
      <c r="H60" s="10"/>
      <c r="I60" s="10"/>
      <c r="J60" s="10"/>
      <c r="K60" s="10"/>
      <c r="L60" s="10"/>
      <c r="M60" s="10"/>
      <c r="N60" s="10"/>
      <c r="O60" s="10"/>
      <c r="P60" s="10"/>
      <c r="Q60" s="10"/>
      <c r="R60" s="25"/>
    </row>
    <row r="61" spans="1:18" x14ac:dyDescent="0.35">
      <c r="A61" s="24"/>
      <c r="B61" s="10"/>
      <c r="C61" s="10"/>
      <c r="D61" s="10"/>
      <c r="E61" s="10"/>
      <c r="F61" s="10"/>
      <c r="G61" s="10"/>
      <c r="H61" s="10"/>
      <c r="I61" s="10"/>
      <c r="J61" s="10"/>
      <c r="K61" s="10"/>
      <c r="L61" s="10"/>
      <c r="M61" s="10"/>
      <c r="N61" s="10"/>
      <c r="O61" s="10"/>
      <c r="P61" s="10"/>
      <c r="Q61" s="10"/>
      <c r="R61" s="25"/>
    </row>
    <row r="62" spans="1:18" x14ac:dyDescent="0.35">
      <c r="A62" s="24"/>
      <c r="B62" s="10"/>
      <c r="C62" s="10"/>
      <c r="D62" s="10"/>
      <c r="E62" s="10"/>
      <c r="F62" s="10"/>
      <c r="G62" s="10"/>
      <c r="H62" s="10"/>
      <c r="I62" s="10"/>
      <c r="J62" s="10"/>
      <c r="K62" s="10"/>
      <c r="L62" s="10"/>
      <c r="M62" s="10"/>
      <c r="N62" s="10"/>
      <c r="O62" s="10"/>
      <c r="P62" s="10"/>
      <c r="Q62" s="10"/>
      <c r="R62" s="25"/>
    </row>
    <row r="63" spans="1:18" x14ac:dyDescent="0.35">
      <c r="A63" s="24"/>
      <c r="B63" s="10"/>
      <c r="C63" s="10"/>
      <c r="D63" s="10"/>
      <c r="E63" s="10"/>
      <c r="F63" s="10"/>
      <c r="G63" s="10"/>
      <c r="H63" s="10"/>
      <c r="I63" s="10"/>
      <c r="J63" s="10"/>
      <c r="K63" s="10"/>
      <c r="L63" s="10"/>
      <c r="M63" s="10"/>
      <c r="N63" s="10"/>
      <c r="O63" s="10"/>
      <c r="P63" s="10"/>
      <c r="Q63" s="10"/>
      <c r="R63" s="25"/>
    </row>
    <row r="64" spans="1:18" x14ac:dyDescent="0.35">
      <c r="A64" s="24"/>
      <c r="B64" s="10"/>
      <c r="C64" s="10"/>
      <c r="D64" s="10"/>
      <c r="E64" s="10"/>
      <c r="F64" s="10"/>
      <c r="G64" s="10"/>
      <c r="H64" s="10"/>
      <c r="I64" s="10"/>
      <c r="J64" s="10"/>
      <c r="K64" s="10"/>
      <c r="L64" s="10"/>
      <c r="M64" s="10"/>
      <c r="N64" s="10"/>
      <c r="O64" s="10"/>
      <c r="P64" s="10"/>
      <c r="Q64" s="10"/>
      <c r="R64" s="25"/>
    </row>
    <row r="65" spans="1:18" x14ac:dyDescent="0.35">
      <c r="A65" s="24"/>
      <c r="B65" s="10"/>
      <c r="C65" s="10"/>
      <c r="D65" s="10"/>
      <c r="E65" s="10"/>
      <c r="F65" s="10"/>
      <c r="G65" s="10"/>
      <c r="H65" s="10"/>
      <c r="I65" s="10"/>
      <c r="J65" s="10"/>
      <c r="K65" s="10"/>
      <c r="L65" s="10"/>
      <c r="M65" s="10"/>
      <c r="N65" s="10"/>
      <c r="O65" s="10"/>
      <c r="P65" s="10"/>
      <c r="Q65" s="10"/>
      <c r="R65" s="25"/>
    </row>
    <row r="66" spans="1:18" x14ac:dyDescent="0.35">
      <c r="A66" s="24"/>
      <c r="B66" s="10"/>
      <c r="C66" s="10"/>
      <c r="D66" s="10"/>
      <c r="E66" s="10"/>
      <c r="F66" s="10"/>
      <c r="G66" s="10"/>
      <c r="H66" s="10"/>
      <c r="I66" s="10"/>
      <c r="J66" s="10"/>
      <c r="K66" s="10"/>
      <c r="L66" s="10"/>
      <c r="M66" s="10"/>
      <c r="N66" s="10"/>
      <c r="O66" s="10"/>
      <c r="P66" s="10"/>
      <c r="Q66" s="10"/>
      <c r="R66" s="25"/>
    </row>
    <row r="67" spans="1:18" x14ac:dyDescent="0.35">
      <c r="A67" s="24"/>
      <c r="B67" s="10"/>
      <c r="C67" s="10"/>
      <c r="D67" s="10"/>
      <c r="E67" s="10"/>
      <c r="F67" s="10"/>
      <c r="G67" s="10"/>
      <c r="H67" s="10"/>
      <c r="I67" s="10"/>
      <c r="J67" s="10"/>
      <c r="K67" s="10"/>
      <c r="L67" s="10"/>
      <c r="M67" s="10"/>
      <c r="N67" s="10"/>
      <c r="O67" s="10"/>
      <c r="P67" s="10"/>
      <c r="Q67" s="10"/>
      <c r="R67" s="25"/>
    </row>
    <row r="68" spans="1:18" x14ac:dyDescent="0.35">
      <c r="A68" s="24"/>
      <c r="B68" s="10"/>
      <c r="C68" s="10"/>
      <c r="D68" s="10"/>
      <c r="E68" s="10"/>
      <c r="F68" s="10"/>
      <c r="G68" s="10"/>
      <c r="H68" s="10"/>
      <c r="I68" s="10"/>
      <c r="J68" s="10"/>
      <c r="K68" s="10"/>
      <c r="L68" s="10"/>
      <c r="M68" s="10"/>
      <c r="N68" s="10"/>
      <c r="O68" s="10"/>
      <c r="P68" s="10"/>
      <c r="Q68" s="10"/>
      <c r="R68" s="25"/>
    </row>
    <row r="69" spans="1:18" x14ac:dyDescent="0.35">
      <c r="A69" s="26"/>
      <c r="B69" s="27"/>
      <c r="C69" s="27"/>
      <c r="D69" s="27"/>
      <c r="E69" s="27"/>
      <c r="F69" s="27"/>
      <c r="G69" s="27"/>
      <c r="H69" s="27"/>
      <c r="I69" s="27"/>
      <c r="J69" s="27"/>
      <c r="K69" s="27"/>
      <c r="L69" s="27"/>
      <c r="M69" s="27"/>
      <c r="N69" s="27"/>
      <c r="O69" s="27"/>
      <c r="P69" s="27"/>
      <c r="Q69" s="27"/>
      <c r="R69" s="28"/>
    </row>
    <row r="71" spans="1:18" ht="16" customHeight="1" x14ac:dyDescent="0.35">
      <c r="A71" s="8" t="s">
        <v>28</v>
      </c>
      <c r="C71" s="11"/>
      <c r="D71" s="12"/>
      <c r="E71" s="12"/>
      <c r="F71" s="13"/>
      <c r="G71" s="31"/>
    </row>
  </sheetData>
  <mergeCells count="31">
    <mergeCell ref="A48:R69"/>
    <mergeCell ref="A45:R46"/>
    <mergeCell ref="A44:R44"/>
    <mergeCell ref="A39:R39"/>
    <mergeCell ref="A40:R42"/>
    <mergeCell ref="C27:C28"/>
    <mergeCell ref="B14:B15"/>
    <mergeCell ref="A3:R3"/>
    <mergeCell ref="A27:A28"/>
    <mergeCell ref="A26:R26"/>
    <mergeCell ref="B27:B28"/>
    <mergeCell ref="D27:F27"/>
    <mergeCell ref="G14:J14"/>
    <mergeCell ref="K14:N14"/>
    <mergeCell ref="O14:R14"/>
    <mergeCell ref="G27:J27"/>
    <mergeCell ref="K27:N27"/>
    <mergeCell ref="O27:R27"/>
    <mergeCell ref="A1:R1"/>
    <mergeCell ref="C71:F71"/>
    <mergeCell ref="C14:C15"/>
    <mergeCell ref="A12:D12"/>
    <mergeCell ref="E12:H12"/>
    <mergeCell ref="I12:R12"/>
    <mergeCell ref="A25:D25"/>
    <mergeCell ref="E25:H25"/>
    <mergeCell ref="I25:R25"/>
    <mergeCell ref="A2:R2"/>
    <mergeCell ref="A14:A15"/>
    <mergeCell ref="D14:F14"/>
    <mergeCell ref="A13:R13"/>
  </mergeCells>
  <conditionalFormatting sqref="H16:H23">
    <cfRule type="expression" dxfId="5" priority="6" stopIfTrue="1">
      <formula>AND(H16&lt;&gt;"",D16&lt;&gt;"",H16&gt;=1.05*D16)</formula>
    </cfRule>
  </conditionalFormatting>
  <conditionalFormatting sqref="H29:H36">
    <cfRule type="expression" dxfId="4" priority="3" stopIfTrue="1">
      <formula>AND(H29&lt;&gt;"",D29&lt;&gt;"",H29&gt;=1.05*D29)</formula>
    </cfRule>
  </conditionalFormatting>
  <conditionalFormatting sqref="L16:L23">
    <cfRule type="expression" dxfId="3" priority="5" stopIfTrue="1">
      <formula>AND(L16&lt;&gt;"",H16&lt;&gt;"",L16&gt;=1.05*H16)</formula>
    </cfRule>
  </conditionalFormatting>
  <conditionalFormatting sqref="L29:L36">
    <cfRule type="expression" dxfId="2" priority="2" stopIfTrue="1">
      <formula>AND(L29&lt;&gt;"",H29&lt;&gt;"",L29&gt;=1.05*H29)</formula>
    </cfRule>
  </conditionalFormatting>
  <conditionalFormatting sqref="P16:P23">
    <cfRule type="expression" dxfId="1" priority="4" stopIfTrue="1">
      <formula>AND(P16&lt;&gt;"",L16&lt;&gt;"",P16&gt;=1.05*L16)</formula>
    </cfRule>
  </conditionalFormatting>
  <conditionalFormatting sqref="P29:P36">
    <cfRule type="expression" dxfId="0" priority="1" stopIfTrue="1">
      <formula>AND(P29&lt;&gt;"",L29&lt;&gt;"",P29&gt;=1.05*L29)</formula>
    </cfRule>
  </conditionalFormatting>
  <dataValidations count="2">
    <dataValidation type="list" allowBlank="1" showInputMessage="1" showErrorMessage="1" sqref="E12:H12" xr:uid="{1C4E09A8-958B-4066-85A0-C5FEA1B4EEF5}">
      <formula1>$A$16:$A$23</formula1>
    </dataValidation>
    <dataValidation type="list" allowBlank="1" showInputMessage="1" showErrorMessage="1" sqref="E25:H25" xr:uid="{D2318447-205C-47DB-A823-25A36F16FCE9}">
      <formula1>$A$29:$A$36</formula1>
    </dataValidation>
  </dataValidations>
  <pageMargins left="0.75" right="0.75" top="1" bottom="1" header="0.5" footer="0.5"/>
  <pageSetup fitToHeight="0" orientation="landscape"/>
  <headerFooter>
    <oddFooter>&amp;C&amp;8 PARADISE-studie  ·  eCRF 24b: Opvolgtool piekdruk en ontlasting (Novel pedar)  ·  Versie 02/08/2026</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Opvolgtool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Janou De Buyser</cp:lastModifiedBy>
  <dcterms:created xsi:type="dcterms:W3CDTF">2026-07-30T07:04:59Z</dcterms:created>
  <dcterms:modified xsi:type="dcterms:W3CDTF">2026-10-08T17:30:14Z</dcterms:modified>
</cp:coreProperties>
</file>
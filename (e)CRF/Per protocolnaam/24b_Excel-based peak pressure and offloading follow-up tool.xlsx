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kuleuven-my.sharepoint.com/personal/janou_debuyser_kuleuven_be1/Documents/Documents/PhD Brugge/Site/(e)CRF/Per nummer/"/>
    </mc:Choice>
  </mc:AlternateContent>
  <xr:revisionPtr revIDLastSave="7" documentId="11_71D650B1929CCFA6FD70D0ED0D1FF050D6CE9E36" xr6:coauthVersionLast="47" xr6:coauthVersionMax="47" xr10:uidLastSave="{2FBA11EF-3AEA-412D-B272-78A02FCB2FB8}"/>
  <bookViews>
    <workbookView xWindow="-120" yWindow="-120" windowWidth="29040" windowHeight="15720" xr2:uid="{00000000-000D-0000-FFFF-FFFF00000000}"/>
  </bookViews>
  <sheets>
    <sheet name="Opvolgt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C35" i="1"/>
  <c r="C34" i="1"/>
  <c r="C33" i="1"/>
  <c r="C32" i="1"/>
  <c r="C31" i="1"/>
  <c r="C30" i="1"/>
  <c r="C29" i="1"/>
  <c r="C23" i="1"/>
  <c r="C22" i="1"/>
  <c r="C21" i="1"/>
  <c r="C20" i="1"/>
  <c r="C19" i="1"/>
  <c r="C18" i="1"/>
  <c r="C17" i="1"/>
  <c r="C16" i="1"/>
  <c r="O36" i="1"/>
  <c r="N36" i="1"/>
  <c r="L36" i="1"/>
  <c r="K36" i="1"/>
  <c r="I36" i="1"/>
  <c r="H36" i="1"/>
  <c r="F36" i="1"/>
  <c r="E36" i="1"/>
  <c r="O35" i="1"/>
  <c r="N35" i="1"/>
  <c r="L35" i="1"/>
  <c r="K35" i="1"/>
  <c r="I35" i="1"/>
  <c r="H35" i="1"/>
  <c r="F35" i="1"/>
  <c r="E35" i="1"/>
  <c r="O34" i="1"/>
  <c r="N34" i="1"/>
  <c r="L34" i="1"/>
  <c r="K34" i="1"/>
  <c r="I34" i="1"/>
  <c r="H34" i="1"/>
  <c r="F34" i="1"/>
  <c r="E34" i="1"/>
  <c r="O33" i="1"/>
  <c r="N33" i="1"/>
  <c r="L33" i="1"/>
  <c r="K33" i="1"/>
  <c r="I33" i="1"/>
  <c r="H33" i="1"/>
  <c r="F33" i="1"/>
  <c r="E33" i="1"/>
  <c r="O32" i="1"/>
  <c r="N32" i="1"/>
  <c r="L32" i="1"/>
  <c r="K32" i="1"/>
  <c r="I32" i="1"/>
  <c r="H32" i="1"/>
  <c r="F32" i="1"/>
  <c r="E32" i="1"/>
  <c r="O31" i="1"/>
  <c r="N31" i="1"/>
  <c r="L31" i="1"/>
  <c r="K31" i="1"/>
  <c r="I31" i="1"/>
  <c r="H31" i="1"/>
  <c r="F31" i="1"/>
  <c r="E31" i="1"/>
  <c r="O30" i="1"/>
  <c r="N30" i="1"/>
  <c r="L30" i="1"/>
  <c r="K30" i="1"/>
  <c r="I30" i="1"/>
  <c r="H30" i="1"/>
  <c r="F30" i="1"/>
  <c r="E30" i="1"/>
  <c r="O29" i="1"/>
  <c r="N29" i="1"/>
  <c r="L29" i="1"/>
  <c r="K29" i="1"/>
  <c r="I29" i="1"/>
  <c r="H29" i="1"/>
  <c r="F29" i="1"/>
  <c r="E29" i="1"/>
  <c r="O23" i="1"/>
  <c r="N23" i="1"/>
  <c r="L23" i="1"/>
  <c r="K23" i="1"/>
  <c r="I23" i="1"/>
  <c r="H23" i="1"/>
  <c r="F23" i="1"/>
  <c r="E23" i="1"/>
  <c r="O22" i="1"/>
  <c r="N22" i="1"/>
  <c r="L22" i="1"/>
  <c r="K22" i="1"/>
  <c r="I22" i="1"/>
  <c r="H22" i="1"/>
  <c r="F22" i="1"/>
  <c r="E22" i="1"/>
  <c r="O21" i="1"/>
  <c r="N21" i="1"/>
  <c r="L21" i="1"/>
  <c r="K21" i="1"/>
  <c r="I21" i="1"/>
  <c r="H21" i="1"/>
  <c r="F21" i="1"/>
  <c r="E21" i="1"/>
  <c r="O20" i="1"/>
  <c r="N20" i="1"/>
  <c r="L20" i="1"/>
  <c r="K20" i="1"/>
  <c r="I20" i="1"/>
  <c r="H20" i="1"/>
  <c r="F20" i="1"/>
  <c r="E20" i="1"/>
  <c r="O19" i="1"/>
  <c r="N19" i="1"/>
  <c r="L19" i="1"/>
  <c r="K19" i="1"/>
  <c r="I19" i="1"/>
  <c r="H19" i="1"/>
  <c r="F19" i="1"/>
  <c r="E19" i="1"/>
  <c r="O18" i="1"/>
  <c r="N18" i="1"/>
  <c r="L18" i="1"/>
  <c r="K18" i="1"/>
  <c r="I18" i="1"/>
  <c r="H18" i="1"/>
  <c r="F18" i="1"/>
  <c r="E18" i="1"/>
  <c r="O17" i="1"/>
  <c r="N17" i="1"/>
  <c r="L17" i="1"/>
  <c r="K17" i="1"/>
  <c r="I17" i="1"/>
  <c r="H17" i="1"/>
  <c r="F17" i="1"/>
  <c r="E17" i="1"/>
  <c r="O16" i="1"/>
  <c r="N16" i="1"/>
  <c r="L16" i="1"/>
  <c r="K16" i="1"/>
  <c r="I16" i="1"/>
  <c r="H16" i="1"/>
  <c r="F16" i="1"/>
  <c r="E16" i="1"/>
</calcChain>
</file>

<file path=xl/sharedStrings.xml><?xml version="1.0" encoding="utf-8"?>
<sst xmlns="http://schemas.openxmlformats.org/spreadsheetml/2006/main" count="78" uniqueCount="41">
  <si>
    <t>PARADISE PROJECT</t>
  </si>
  <si>
    <t>eCRF-Document 24b: Opvolgtool piekdruk en ontlasting (Novel pedar)</t>
  </si>
  <si>
    <t>Aanvullend hulpmiddel bij eCRF-document 9 (baseline plantaire drukmeting) en eCRF-document 24 (meting drukherverdeling voetorthese) — ondersteunt de klinische opvolging van de doelregio's doorheen de studie. Vervangt de papieren eCRF-documenten niet.</t>
  </si>
  <si>
    <t>Studie titel:</t>
  </si>
  <si>
    <t>Towards Pressure-Adherence &amp; Education Driven Service in Diabetic Foot Disease (PARADISE trial)</t>
  </si>
  <si>
    <t>Protocolnummer:</t>
  </si>
  <si>
    <t>S71769</t>
  </si>
  <si>
    <t>Studielocatie:</t>
  </si>
  <si>
    <t>Deelnemerscode:</t>
  </si>
  <si>
    <t>Datum meting:</t>
  </si>
  <si>
    <t>Toestel:</t>
  </si>
  <si>
    <t>Novel pedar</t>
  </si>
  <si>
    <t>Visite:</t>
  </si>
  <si>
    <t>V2 / V4 / V6 / V8 (omcirkelen)</t>
  </si>
  <si>
    <t>Regio (Multimask)</t>
  </si>
  <si>
    <t>Doelregio?</t>
  </si>
  <si>
    <t>Visite 2</t>
  </si>
  <si>
    <t>Visite 4</t>
  </si>
  <si>
    <t>Visite 6</t>
  </si>
  <si>
    <t>Visite 8</t>
  </si>
  <si>
    <t>Doel behaald?</t>
  </si>
  <si>
    <t>Hiel</t>
  </si>
  <si>
    <t>Mediale middenvoet</t>
  </si>
  <si>
    <t>Laterale middenvoet</t>
  </si>
  <si>
    <t>Metatarsaal 1</t>
  </si>
  <si>
    <t>Metatarsaal 2-3</t>
  </si>
  <si>
    <t>Metatarsaal 4-5</t>
  </si>
  <si>
    <t>Hallux</t>
  </si>
  <si>
    <t>Tenen 2-5</t>
  </si>
  <si>
    <t>Richtlijnen (PARADISE-offloadingdoel)</t>
  </si>
  <si>
    <t>Datum van deze opname:</t>
  </si>
  <si>
    <t>LINKS - regio van de vorige voetzweer:</t>
  </si>
  <si>
    <t>kies uit de lijst; leeg laten als er aan deze voet geen voetzweer was</t>
  </si>
  <si>
    <t>Zonder zool op visite 2 (kPa) - referentie</t>
  </si>
  <si>
    <t>Piekdruk met zool (kPa)</t>
  </si>
  <si>
    <t>% lager dan referentie</t>
  </si>
  <si>
    <t>RECHTS - regio van de vorige voetzweer:</t>
  </si>
  <si>
    <t>De doelregio's zijn de regio van de vorige voetzweer - altijd, ook onder 200 kPa, gekozen bovenaan bij elke voet - aangevuld met de een of twee regio's met de hoogste piekdruk zonder zool op visite 2. Beide worden automatisch als DOELREGIO gemarkeerd.
Norm per doelregio: piekdruk met zool onder 200 kPa, OF minstens 25% lager dan de referentie. De referentie is de meting zonder zool op visite 2 (in-shoe, in hetzelfde schoeisel, zonder de CMFO) en blijft op visite 4, 6 en 8 dezelfde. Noteer op visite 2 de waarde na de laatste aanpassing.
Is de norm niet gehaald (NEE), of kleurt een piekdruk oranje omdat ze 5% of meer hoger ligt dan de vorige visite, dan wordt de CMFO aangepast volgens eCRF 23 en opnieuw gemeten.</t>
  </si>
  <si>
    <t>Schermafbeelding van het MPP-beeld (novel studio)</t>
  </si>
  <si>
    <t>Plak hieronder de schermafbeelding van het MPP-beeld, met de kleurenschaal erbij, voor de visite die bovenaan staat. Windows + Shift + S om te knippen, Ctrl + V om te plakken; de afbeelding mag het gearceerde vak overlappen.</t>
  </si>
  <si>
    <t>[ plak hier de schermafbeelding van het MPP-beeld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</si>
</sst>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00407A"/>
      <name val="Calibri"/>
    </font>
    <font>
      <i/>
      <sz val="9.5"/>
      <color rgb="FF2E3B47"/>
      <name val="Calibri"/>
    </font>
    <font>
      <b/>
      <sz val="11"/>
      <color rgb="FF2E3B47"/>
      <name val="Calibri"/>
    </font>
    <font>
      <sz val="11"/>
      <color rgb="FF2E3B47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sz val="9"/>
      <color rgb="FF2E3B47"/>
      <name val="Calibri"/>
    </font>
    <font>
      <sz val="10"/>
      <color rgb="FF2E3B47"/>
      <name val="Calibri"/>
    </font>
    <font>
      <i/>
      <sz val="11"/>
      <color rgb="FF9AAAB8"/>
      <name val="Calibri"/>
    </font>
    <font>
      <b/>
      <sz val="10"/>
      <color rgb="FF2E3B47"/>
      <name val="Calibri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407A"/>
      </patternFill>
    </fill>
    <fill>
      <patternFill patternType="solid">
        <fgColor rgb="FF1D8DB0"/>
      </patternFill>
    </fill>
    <fill>
      <patternFill patternType="solid">
        <fgColor rgb="FFEAF3F8"/>
      </patternFill>
    </fill>
    <fill>
      <patternFill patternType="solid">
        <fgColor rgb="FFFF7A00"/>
      </patternFill>
    </fill>
    <fill>
      <patternFill patternType="solid">
        <fgColor rgb="FFF7FAFC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B9C7D1"/>
      </left>
      <right style="thin">
        <color rgb="FFB9C7D1"/>
      </right>
      <top style="thin">
        <color rgb="FFB9C7D1"/>
      </top>
      <bottom style="thin">
        <color rgb="FFB9C7D1"/>
      </bottom>
      <diagonal/>
    </border>
    <border>
      <left style="dashed">
        <color rgb="FF8FA6B8"/>
      </left>
      <right style="dashed">
        <color rgb="FF8FA6B8"/>
      </right>
      <top style="dashed">
        <color rgb="FF8FA6B8"/>
      </top>
      <bottom style="dashed">
        <color rgb="FF8FA6B8"/>
      </bottom>
      <diagonal/>
    </border>
    <border>
      <left/>
      <right/>
      <top style="dashed">
        <color rgb="FF8FA6B8"/>
      </top>
      <bottom/>
      <diagonal/>
    </border>
    <border>
      <left style="dashed">
        <color rgb="FF8FA6B8"/>
      </left>
      <right/>
      <top/>
      <bottom/>
      <diagonal/>
    </border>
    <border>
      <left/>
      <right style="dashed">
        <color rgb="FF8FA6B8"/>
      </right>
      <top style="dashed">
        <color rgb="FF8FA6B8"/>
      </top>
      <bottom/>
      <diagonal/>
    </border>
    <border>
      <left/>
      <right style="dashed">
        <color rgb="FF8FA6B8"/>
      </right>
      <top/>
      <bottom/>
      <diagonal/>
    </border>
    <border>
      <left style="dashed">
        <color rgb="FF8FA6B8"/>
      </left>
      <right/>
      <top/>
      <bottom style="dashed">
        <color rgb="FF8FA6B8"/>
      </bottom>
      <diagonal/>
    </border>
    <border>
      <left/>
      <right/>
      <top/>
      <bottom style="dashed">
        <color rgb="FF8FA6B8"/>
      </bottom>
      <diagonal/>
    </border>
    <border>
      <left/>
      <right style="dashed">
        <color rgb="FF8FA6B8"/>
      </right>
      <top/>
      <bottom style="dashed">
        <color rgb="FF8FA6B8"/>
      </bottom>
      <diagonal/>
    </border>
    <border>
      <left/>
      <right/>
      <top style="thin">
        <color rgb="FFB9C7D1"/>
      </top>
      <bottom style="thin">
        <color rgb="FFB9C7D1"/>
      </bottom>
      <diagonal/>
    </border>
    <border>
      <left/>
      <right style="thin">
        <color rgb="FFB9C7D1"/>
      </right>
      <top style="thin">
        <color rgb="FFB9C7D1"/>
      </top>
      <bottom style="thin">
        <color rgb="FFB9C7D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0" fontId="5" fillId="0" borderId="0" xfId="0" applyFont="1"/>
    <xf numFmtId="0" fontId="7" fillId="3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/>
    <xf numFmtId="0" fontId="6" fillId="3" borderId="0" xfId="0" applyFont="1" applyFill="1" applyAlignment="1">
      <alignment horizontal="left" vertical="center" wrapText="1"/>
    </xf>
    <xf numFmtId="0" fontId="10" fillId="6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0" xfId="0" applyFont="1" applyAlignment="1">
      <alignment horizontal="left" vertical="center" wrapText="1"/>
    </xf>
    <xf numFmtId="0" fontId="5" fillId="0" borderId="0" xfId="0" applyFont="1"/>
    <xf numFmtId="0" fontId="2" fillId="0" borderId="0" xfId="0" applyFont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12" fillId="7" borderId="12" xfId="0" applyFont="1" applyFill="1" applyBorder="1"/>
    <xf numFmtId="0" fontId="13" fillId="0" borderId="13" xfId="0" applyFont="1" applyBorder="1"/>
  </cellXfs>
  <cellStyles count="1">
    <cellStyle name="Standaard" xfId="0" builtinId="0"/>
  </cellStyles>
  <dxfs count="6">
    <dxf>
      <fill>
        <patternFill>
          <bgColor rgb="FFFFC78C"/>
        </patternFill>
      </fill>
    </dxf>
    <dxf>
      <fill>
        <patternFill>
          <bgColor rgb="FFFFC78C"/>
        </patternFill>
      </fill>
    </dxf>
    <dxf>
      <fill>
        <patternFill>
          <bgColor rgb="FFFFC78C"/>
        </patternFill>
      </fill>
    </dxf>
    <dxf>
      <fill>
        <patternFill>
          <bgColor rgb="FFFFC78C"/>
        </patternFill>
      </fill>
    </dxf>
    <dxf>
      <fill>
        <patternFill>
          <bgColor rgb="FFFFC78C"/>
        </patternFill>
      </fill>
    </dxf>
    <dxf>
      <fill>
        <patternFill>
          <bgColor rgb="FFFFC78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1"/>
  <sheetViews>
    <sheetView tabSelected="1" workbookViewId="0">
      <pane ySplit="5" topLeftCell="A6" activePane="bottomLeft" state="frozen"/>
      <selection pane="bottomLeft" sqref="A1:O1"/>
    </sheetView>
  </sheetViews>
  <sheetFormatPr defaultRowHeight="15" x14ac:dyDescent="0.25"/>
  <cols>
    <col min="1" max="1" width="22" customWidth="1"/>
    <col min="2" max="2" width="15" customWidth="1"/>
    <col min="3" max="3" width="16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</cols>
  <sheetData>
    <row r="1" spans="1:15" ht="26.1" customHeight="1" x14ac:dyDescent="0.25">
      <c r="A1" s="25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25">
      <c r="A2" s="22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spans="1:15" ht="27.95" customHeight="1" x14ac:dyDescent="0.25">
      <c r="A3" s="20" t="s">
        <v>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5" spans="1:15" x14ac:dyDescent="0.25">
      <c r="A5" s="1" t="s">
        <v>3</v>
      </c>
      <c r="C5" s="2" t="s">
        <v>4</v>
      </c>
    </row>
    <row r="6" spans="1:15" x14ac:dyDescent="0.25">
      <c r="A6" s="1" t="s">
        <v>5</v>
      </c>
      <c r="C6" s="2" t="s">
        <v>6</v>
      </c>
    </row>
    <row r="7" spans="1:15" x14ac:dyDescent="0.25">
      <c r="A7" s="1" t="s">
        <v>7</v>
      </c>
      <c r="C7" s="2"/>
      <c r="G7" s="1" t="s">
        <v>8</v>
      </c>
      <c r="I7" s="2"/>
    </row>
    <row r="8" spans="1:15" x14ac:dyDescent="0.25">
      <c r="A8" s="1" t="s">
        <v>9</v>
      </c>
      <c r="C8" s="2"/>
      <c r="G8" s="1" t="s">
        <v>10</v>
      </c>
      <c r="I8" s="2" t="s">
        <v>11</v>
      </c>
    </row>
    <row r="9" spans="1:15" x14ac:dyDescent="0.25">
      <c r="A9" s="1" t="s">
        <v>12</v>
      </c>
      <c r="C9" s="2" t="s">
        <v>13</v>
      </c>
    </row>
    <row r="12" spans="1:15" ht="18" customHeight="1" x14ac:dyDescent="0.25">
      <c r="A12" s="11" t="s">
        <v>31</v>
      </c>
      <c r="B12" s="11"/>
      <c r="C12" s="11"/>
      <c r="D12" s="11"/>
      <c r="E12" s="29"/>
      <c r="F12" s="29"/>
      <c r="G12" s="29"/>
      <c r="H12" s="30" t="s">
        <v>32</v>
      </c>
      <c r="I12" s="10"/>
      <c r="J12" s="10"/>
      <c r="K12" s="10"/>
      <c r="L12" s="10"/>
      <c r="M12" s="10"/>
      <c r="N12" s="10"/>
      <c r="O12" s="10"/>
    </row>
    <row r="13" spans="1:15" x14ac:dyDescent="0.25">
      <c r="A13" s="21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</row>
    <row r="14" spans="1:15" ht="15.95" customHeight="1" x14ac:dyDescent="0.25">
      <c r="A14" s="9" t="s">
        <v>14</v>
      </c>
      <c r="B14" s="9" t="s">
        <v>33</v>
      </c>
      <c r="C14" s="9" t="s">
        <v>15</v>
      </c>
      <c r="D14" s="9" t="s">
        <v>16</v>
      </c>
      <c r="E14" s="10"/>
      <c r="F14" s="10"/>
      <c r="G14" s="9" t="s">
        <v>17</v>
      </c>
      <c r="H14" s="10"/>
      <c r="I14" s="10"/>
      <c r="J14" s="9" t="s">
        <v>18</v>
      </c>
      <c r="K14" s="10"/>
      <c r="L14" s="10"/>
      <c r="M14" s="9" t="s">
        <v>19</v>
      </c>
      <c r="N14" s="10"/>
      <c r="O14" s="10"/>
    </row>
    <row r="15" spans="1:15" ht="27.95" customHeight="1" x14ac:dyDescent="0.25">
      <c r="A15" s="10"/>
      <c r="B15" s="10"/>
      <c r="C15" s="10"/>
      <c r="D15" s="3" t="s">
        <v>34</v>
      </c>
      <c r="E15" s="3" t="s">
        <v>35</v>
      </c>
      <c r="F15" s="3" t="s">
        <v>20</v>
      </c>
      <c r="G15" s="3" t="s">
        <v>34</v>
      </c>
      <c r="H15" s="3" t="s">
        <v>35</v>
      </c>
      <c r="I15" s="3" t="s">
        <v>20</v>
      </c>
      <c r="J15" s="3" t="s">
        <v>34</v>
      </c>
      <c r="K15" s="3" t="s">
        <v>35</v>
      </c>
      <c r="L15" s="3" t="s">
        <v>20</v>
      </c>
      <c r="M15" s="3" t="s">
        <v>34</v>
      </c>
      <c r="N15" s="3" t="s">
        <v>35</v>
      </c>
      <c r="O15" s="3" t="s">
        <v>20</v>
      </c>
    </row>
    <row r="16" spans="1:15" x14ac:dyDescent="0.25">
      <c r="A16" s="4" t="s">
        <v>21</v>
      </c>
      <c r="B16" s="5"/>
      <c r="C16" s="6" t="str">
        <f>IF($E$12=$A16,"DOELREGIO",IF(B16="","",IF(AND(B16&gt;200,RANK(B16,$B$16:$B$23)&lt;=2),"DOELREGIO","")))</f>
        <v/>
      </c>
      <c r="D16" s="5"/>
      <c r="E16" s="6" t="str">
        <f t="shared" ref="E16:E23" si="0">IF(OR($B16="",D16=""),"",ROUND(($B16-D16)/$B16*100,1))</f>
        <v/>
      </c>
      <c r="F16" s="7" t="str">
        <f t="shared" ref="F16:F23" si="1">IF(OR($B16="",D16=""),"",IF(OR(D16&lt;200,($B16-D16)/$B16&gt;=0.25),"JA","NEE"))</f>
        <v/>
      </c>
      <c r="G16" s="5"/>
      <c r="H16" s="6" t="str">
        <f t="shared" ref="H16:H23" si="2">IF(OR($B16="",G16=""),"",ROUND(($B16-G16)/$B16*100,1))</f>
        <v/>
      </c>
      <c r="I16" s="7" t="str">
        <f t="shared" ref="I16:I23" si="3">IF(OR($B16="",G16=""),"",IF(OR(G16&lt;200,($B16-G16)/$B16&gt;=0.25),"JA","NEE"))</f>
        <v/>
      </c>
      <c r="J16" s="5"/>
      <c r="K16" s="6" t="str">
        <f t="shared" ref="K16:K23" si="4">IF(OR($B16="",J16=""),"",ROUND(($B16-J16)/$B16*100,1))</f>
        <v/>
      </c>
      <c r="L16" s="7" t="str">
        <f t="shared" ref="L16:L23" si="5">IF(OR($B16="",J16=""),"",IF(OR(J16&lt;200,($B16-J16)/$B16&gt;=0.25),"JA","NEE"))</f>
        <v/>
      </c>
      <c r="M16" s="5"/>
      <c r="N16" s="6" t="str">
        <f t="shared" ref="N16:N23" si="6">IF(OR($B16="",M16=""),"",ROUND(($B16-M16)/$B16*100,1))</f>
        <v/>
      </c>
      <c r="O16" s="7" t="str">
        <f t="shared" ref="O16:O23" si="7">IF(OR($B16="",M16=""),"",IF(OR(M16&lt;200,($B16-M16)/$B16&gt;=0.25),"JA","NEE"))</f>
        <v/>
      </c>
    </row>
    <row r="17" spans="1:15" x14ac:dyDescent="0.25">
      <c r="A17" s="4" t="s">
        <v>22</v>
      </c>
      <c r="B17" s="5"/>
      <c r="C17" s="6" t="str">
        <f>IF($E$12=$A17,"DOELREGIO",IF(B17="","",IF(AND(B17&gt;200,RANK(B17,$B$16:$B$23)&lt;=2),"DOELREGIO","")))</f>
        <v/>
      </c>
      <c r="D17" s="5"/>
      <c r="E17" s="6" t="str">
        <f t="shared" si="0"/>
        <v/>
      </c>
      <c r="F17" s="7" t="str">
        <f t="shared" si="1"/>
        <v/>
      </c>
      <c r="G17" s="5"/>
      <c r="H17" s="6" t="str">
        <f t="shared" si="2"/>
        <v/>
      </c>
      <c r="I17" s="7" t="str">
        <f t="shared" si="3"/>
        <v/>
      </c>
      <c r="J17" s="5"/>
      <c r="K17" s="6" t="str">
        <f t="shared" si="4"/>
        <v/>
      </c>
      <c r="L17" s="7" t="str">
        <f t="shared" si="5"/>
        <v/>
      </c>
      <c r="M17" s="5"/>
      <c r="N17" s="6" t="str">
        <f t="shared" si="6"/>
        <v/>
      </c>
      <c r="O17" s="7" t="str">
        <f t="shared" si="7"/>
        <v/>
      </c>
    </row>
    <row r="18" spans="1:15" x14ac:dyDescent="0.25">
      <c r="A18" s="4" t="s">
        <v>23</v>
      </c>
      <c r="B18" s="5"/>
      <c r="C18" s="6" t="str">
        <f>IF($E$12=$A18,"DOELREGIO",IF(B18="","",IF(AND(B18&gt;200,RANK(B18,$B$16:$B$23)&lt;=2),"DOELREGIO","")))</f>
        <v/>
      </c>
      <c r="D18" s="5"/>
      <c r="E18" s="6" t="str">
        <f t="shared" si="0"/>
        <v/>
      </c>
      <c r="F18" s="7" t="str">
        <f t="shared" si="1"/>
        <v/>
      </c>
      <c r="G18" s="5"/>
      <c r="H18" s="6" t="str">
        <f t="shared" si="2"/>
        <v/>
      </c>
      <c r="I18" s="7" t="str">
        <f t="shared" si="3"/>
        <v/>
      </c>
      <c r="J18" s="5"/>
      <c r="K18" s="6" t="str">
        <f t="shared" si="4"/>
        <v/>
      </c>
      <c r="L18" s="7" t="str">
        <f t="shared" si="5"/>
        <v/>
      </c>
      <c r="M18" s="5"/>
      <c r="N18" s="6" t="str">
        <f t="shared" si="6"/>
        <v/>
      </c>
      <c r="O18" s="7" t="str">
        <f t="shared" si="7"/>
        <v/>
      </c>
    </row>
    <row r="19" spans="1:15" x14ac:dyDescent="0.25">
      <c r="A19" s="4" t="s">
        <v>24</v>
      </c>
      <c r="B19" s="5"/>
      <c r="C19" s="6" t="str">
        <f>IF($E$12=$A19,"DOELREGIO",IF(B19="","",IF(AND(B19&gt;200,RANK(B19,$B$16:$B$23)&lt;=2),"DOELREGIO","")))</f>
        <v/>
      </c>
      <c r="D19" s="5"/>
      <c r="E19" s="6" t="str">
        <f t="shared" si="0"/>
        <v/>
      </c>
      <c r="F19" s="7" t="str">
        <f t="shared" si="1"/>
        <v/>
      </c>
      <c r="G19" s="5"/>
      <c r="H19" s="6" t="str">
        <f t="shared" si="2"/>
        <v/>
      </c>
      <c r="I19" s="7" t="str">
        <f t="shared" si="3"/>
        <v/>
      </c>
      <c r="J19" s="5"/>
      <c r="K19" s="6" t="str">
        <f t="shared" si="4"/>
        <v/>
      </c>
      <c r="L19" s="7" t="str">
        <f t="shared" si="5"/>
        <v/>
      </c>
      <c r="M19" s="5"/>
      <c r="N19" s="6" t="str">
        <f t="shared" si="6"/>
        <v/>
      </c>
      <c r="O19" s="7" t="str">
        <f t="shared" si="7"/>
        <v/>
      </c>
    </row>
    <row r="20" spans="1:15" x14ac:dyDescent="0.25">
      <c r="A20" s="4" t="s">
        <v>25</v>
      </c>
      <c r="B20" s="5"/>
      <c r="C20" s="6" t="str">
        <f>IF($E$12=$A20,"DOELREGIO",IF(B20="","",IF(AND(B20&gt;200,RANK(B20,$B$16:$B$23)&lt;=2),"DOELREGIO","")))</f>
        <v/>
      </c>
      <c r="D20" s="5"/>
      <c r="E20" s="6" t="str">
        <f t="shared" si="0"/>
        <v/>
      </c>
      <c r="F20" s="7" t="str">
        <f t="shared" si="1"/>
        <v/>
      </c>
      <c r="G20" s="5"/>
      <c r="H20" s="6" t="str">
        <f t="shared" si="2"/>
        <v/>
      </c>
      <c r="I20" s="7" t="str">
        <f t="shared" si="3"/>
        <v/>
      </c>
      <c r="J20" s="5"/>
      <c r="K20" s="6" t="str">
        <f t="shared" si="4"/>
        <v/>
      </c>
      <c r="L20" s="7" t="str">
        <f t="shared" si="5"/>
        <v/>
      </c>
      <c r="M20" s="5"/>
      <c r="N20" s="6" t="str">
        <f t="shared" si="6"/>
        <v/>
      </c>
      <c r="O20" s="7" t="str">
        <f t="shared" si="7"/>
        <v/>
      </c>
    </row>
    <row r="21" spans="1:15" x14ac:dyDescent="0.25">
      <c r="A21" s="4" t="s">
        <v>26</v>
      </c>
      <c r="B21" s="5"/>
      <c r="C21" s="6" t="str">
        <f>IF($E$12=$A21,"DOELREGIO",IF(B21="","",IF(AND(B21&gt;200,RANK(B21,$B$16:$B$23)&lt;=2),"DOELREGIO","")))</f>
        <v/>
      </c>
      <c r="D21" s="5"/>
      <c r="E21" s="6" t="str">
        <f t="shared" si="0"/>
        <v/>
      </c>
      <c r="F21" s="7" t="str">
        <f t="shared" si="1"/>
        <v/>
      </c>
      <c r="G21" s="5"/>
      <c r="H21" s="6" t="str">
        <f t="shared" si="2"/>
        <v/>
      </c>
      <c r="I21" s="7" t="str">
        <f t="shared" si="3"/>
        <v/>
      </c>
      <c r="J21" s="5"/>
      <c r="K21" s="6" t="str">
        <f t="shared" si="4"/>
        <v/>
      </c>
      <c r="L21" s="7" t="str">
        <f t="shared" si="5"/>
        <v/>
      </c>
      <c r="M21" s="5"/>
      <c r="N21" s="6" t="str">
        <f t="shared" si="6"/>
        <v/>
      </c>
      <c r="O21" s="7" t="str">
        <f t="shared" si="7"/>
        <v/>
      </c>
    </row>
    <row r="22" spans="1:15" x14ac:dyDescent="0.25">
      <c r="A22" s="4" t="s">
        <v>27</v>
      </c>
      <c r="B22" s="5"/>
      <c r="C22" s="6" t="str">
        <f>IF($E$12=$A22,"DOELREGIO",IF(B22="","",IF(AND(B22&gt;200,RANK(B22,$B$16:$B$23)&lt;=2),"DOELREGIO","")))</f>
        <v/>
      </c>
      <c r="D22" s="5"/>
      <c r="E22" s="6" t="str">
        <f t="shared" si="0"/>
        <v/>
      </c>
      <c r="F22" s="7" t="str">
        <f t="shared" si="1"/>
        <v/>
      </c>
      <c r="G22" s="5"/>
      <c r="H22" s="6" t="str">
        <f t="shared" si="2"/>
        <v/>
      </c>
      <c r="I22" s="7" t="str">
        <f t="shared" si="3"/>
        <v/>
      </c>
      <c r="J22" s="5"/>
      <c r="K22" s="6" t="str">
        <f t="shared" si="4"/>
        <v/>
      </c>
      <c r="L22" s="7" t="str">
        <f t="shared" si="5"/>
        <v/>
      </c>
      <c r="M22" s="5"/>
      <c r="N22" s="6" t="str">
        <f t="shared" si="6"/>
        <v/>
      </c>
      <c r="O22" s="7" t="str">
        <f t="shared" si="7"/>
        <v/>
      </c>
    </row>
    <row r="23" spans="1:15" x14ac:dyDescent="0.25">
      <c r="A23" s="4" t="s">
        <v>28</v>
      </c>
      <c r="B23" s="5"/>
      <c r="C23" s="6" t="str">
        <f>IF($E$12=$A23,"DOELREGIO",IF(B23="","",IF(AND(B23&gt;200,RANK(B23,$B$16:$B$23)&lt;=2),"DOELREGIO","")))</f>
        <v/>
      </c>
      <c r="D23" s="5"/>
      <c r="E23" s="6" t="str">
        <f t="shared" si="0"/>
        <v/>
      </c>
      <c r="F23" s="7" t="str">
        <f t="shared" si="1"/>
        <v/>
      </c>
      <c r="G23" s="5"/>
      <c r="H23" s="6" t="str">
        <f t="shared" si="2"/>
        <v/>
      </c>
      <c r="I23" s="7" t="str">
        <f t="shared" si="3"/>
        <v/>
      </c>
      <c r="J23" s="5"/>
      <c r="K23" s="6" t="str">
        <f t="shared" si="4"/>
        <v/>
      </c>
      <c r="L23" s="7" t="str">
        <f t="shared" si="5"/>
        <v/>
      </c>
      <c r="M23" s="5"/>
      <c r="N23" s="6" t="str">
        <f t="shared" si="6"/>
        <v/>
      </c>
      <c r="O23" s="7" t="str">
        <f t="shared" si="7"/>
        <v/>
      </c>
    </row>
    <row r="25" spans="1:15" ht="18" customHeight="1" x14ac:dyDescent="0.25">
      <c r="A25" s="11" t="s">
        <v>36</v>
      </c>
      <c r="B25" s="11"/>
      <c r="C25" s="11"/>
      <c r="D25" s="11"/>
      <c r="E25" s="29"/>
      <c r="F25" s="29"/>
      <c r="G25" s="29"/>
      <c r="H25" s="30" t="s">
        <v>32</v>
      </c>
      <c r="I25" s="10"/>
      <c r="J25" s="10"/>
      <c r="K25" s="10"/>
      <c r="L25" s="10"/>
      <c r="M25" s="10"/>
      <c r="N25" s="10"/>
      <c r="O25" s="10"/>
    </row>
    <row r="26" spans="1:15" x14ac:dyDescent="0.25">
      <c r="A26" s="21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1:15" ht="15.95" customHeight="1" x14ac:dyDescent="0.25">
      <c r="A27" s="9" t="s">
        <v>14</v>
      </c>
      <c r="B27" s="9" t="s">
        <v>33</v>
      </c>
      <c r="C27" s="9" t="s">
        <v>15</v>
      </c>
      <c r="D27" s="9" t="s">
        <v>16</v>
      </c>
      <c r="E27" s="10"/>
      <c r="F27" s="10"/>
      <c r="G27" s="9" t="s">
        <v>17</v>
      </c>
      <c r="H27" s="10"/>
      <c r="I27" s="10"/>
      <c r="J27" s="9" t="s">
        <v>18</v>
      </c>
      <c r="K27" s="10"/>
      <c r="L27" s="10"/>
      <c r="M27" s="9" t="s">
        <v>19</v>
      </c>
      <c r="N27" s="10"/>
      <c r="O27" s="10"/>
    </row>
    <row r="28" spans="1:15" ht="27.95" customHeight="1" x14ac:dyDescent="0.25">
      <c r="A28" s="10"/>
      <c r="B28" s="10"/>
      <c r="C28" s="10"/>
      <c r="D28" s="3" t="s">
        <v>34</v>
      </c>
      <c r="E28" s="3" t="s">
        <v>35</v>
      </c>
      <c r="F28" s="3" t="s">
        <v>20</v>
      </c>
      <c r="G28" s="3" t="s">
        <v>34</v>
      </c>
      <c r="H28" s="3" t="s">
        <v>35</v>
      </c>
      <c r="I28" s="3" t="s">
        <v>20</v>
      </c>
      <c r="J28" s="3" t="s">
        <v>34</v>
      </c>
      <c r="K28" s="3" t="s">
        <v>35</v>
      </c>
      <c r="L28" s="3" t="s">
        <v>20</v>
      </c>
      <c r="M28" s="3" t="s">
        <v>34</v>
      </c>
      <c r="N28" s="3" t="s">
        <v>35</v>
      </c>
      <c r="O28" s="3" t="s">
        <v>20</v>
      </c>
    </row>
    <row r="29" spans="1:15" x14ac:dyDescent="0.25">
      <c r="A29" s="4" t="s">
        <v>21</v>
      </c>
      <c r="B29" s="5"/>
      <c r="C29" s="6" t="str">
        <f>IF($E$25=$A29,"DOELREGIO",IF(B29="","",IF(AND(B29&gt;200,RANK(B29,$B$29:$B$36)&lt;=2),"DOELREGIO","")))</f>
        <v/>
      </c>
      <c r="D29" s="5"/>
      <c r="E29" s="6" t="str">
        <f t="shared" ref="E29:E36" si="8">IF(OR($B29="",D29=""),"",ROUND(($B29-D29)/$B29*100,1))</f>
        <v/>
      </c>
      <c r="F29" s="7" t="str">
        <f t="shared" ref="F29:F36" si="9">IF(OR($B29="",D29=""),"",IF(OR(D29&lt;200,($B29-D29)/$B29&gt;=0.25),"JA","NEE"))</f>
        <v/>
      </c>
      <c r="G29" s="5"/>
      <c r="H29" s="6" t="str">
        <f t="shared" ref="H29:H36" si="10">IF(OR($B29="",G29=""),"",ROUND(($B29-G29)/$B29*100,1))</f>
        <v/>
      </c>
      <c r="I29" s="7" t="str">
        <f t="shared" ref="I29:I36" si="11">IF(OR($B29="",G29=""),"",IF(OR(G29&lt;200,($B29-G29)/$B29&gt;=0.25),"JA","NEE"))</f>
        <v/>
      </c>
      <c r="J29" s="5"/>
      <c r="K29" s="6" t="str">
        <f t="shared" ref="K29:K36" si="12">IF(OR($B29="",J29=""),"",ROUND(($B29-J29)/$B29*100,1))</f>
        <v/>
      </c>
      <c r="L29" s="7" t="str">
        <f t="shared" ref="L29:L36" si="13">IF(OR($B29="",J29=""),"",IF(OR(J29&lt;200,($B29-J29)/$B29&gt;=0.25),"JA","NEE"))</f>
        <v/>
      </c>
      <c r="M29" s="5"/>
      <c r="N29" s="6" t="str">
        <f t="shared" ref="N29:N36" si="14">IF(OR($B29="",M29=""),"",ROUND(($B29-M29)/$B29*100,1))</f>
        <v/>
      </c>
      <c r="O29" s="7" t="str">
        <f t="shared" ref="O29:O36" si="15">IF(OR($B29="",M29=""),"",IF(OR(M29&lt;200,($B29-M29)/$B29&gt;=0.25),"JA","NEE"))</f>
        <v/>
      </c>
    </row>
    <row r="30" spans="1:15" x14ac:dyDescent="0.25">
      <c r="A30" s="4" t="s">
        <v>22</v>
      </c>
      <c r="B30" s="5"/>
      <c r="C30" s="6" t="str">
        <f>IF($E$25=$A30,"DOELREGIO",IF(B30="","",IF(AND(B30&gt;200,RANK(B30,$B$29:$B$36)&lt;=2),"DOELREGIO","")))</f>
        <v/>
      </c>
      <c r="D30" s="5"/>
      <c r="E30" s="6" t="str">
        <f t="shared" si="8"/>
        <v/>
      </c>
      <c r="F30" s="7" t="str">
        <f t="shared" si="9"/>
        <v/>
      </c>
      <c r="G30" s="5"/>
      <c r="H30" s="6" t="str">
        <f t="shared" si="10"/>
        <v/>
      </c>
      <c r="I30" s="7" t="str">
        <f t="shared" si="11"/>
        <v/>
      </c>
      <c r="J30" s="5"/>
      <c r="K30" s="6" t="str">
        <f t="shared" si="12"/>
        <v/>
      </c>
      <c r="L30" s="7" t="str">
        <f t="shared" si="13"/>
        <v/>
      </c>
      <c r="M30" s="5"/>
      <c r="N30" s="6" t="str">
        <f t="shared" si="14"/>
        <v/>
      </c>
      <c r="O30" s="7" t="str">
        <f t="shared" si="15"/>
        <v/>
      </c>
    </row>
    <row r="31" spans="1:15" x14ac:dyDescent="0.25">
      <c r="A31" s="4" t="s">
        <v>23</v>
      </c>
      <c r="B31" s="5"/>
      <c r="C31" s="6" t="str">
        <f>IF($E$25=$A31,"DOELREGIO",IF(B31="","",IF(AND(B31&gt;200,RANK(B31,$B$29:$B$36)&lt;=2),"DOELREGIO","")))</f>
        <v/>
      </c>
      <c r="D31" s="5"/>
      <c r="E31" s="6" t="str">
        <f t="shared" si="8"/>
        <v/>
      </c>
      <c r="F31" s="7" t="str">
        <f t="shared" si="9"/>
        <v/>
      </c>
      <c r="G31" s="5"/>
      <c r="H31" s="6" t="str">
        <f t="shared" si="10"/>
        <v/>
      </c>
      <c r="I31" s="7" t="str">
        <f t="shared" si="11"/>
        <v/>
      </c>
      <c r="J31" s="5"/>
      <c r="K31" s="6" t="str">
        <f t="shared" si="12"/>
        <v/>
      </c>
      <c r="L31" s="7" t="str">
        <f t="shared" si="13"/>
        <v/>
      </c>
      <c r="M31" s="5"/>
      <c r="N31" s="6" t="str">
        <f t="shared" si="14"/>
        <v/>
      </c>
      <c r="O31" s="7" t="str">
        <f t="shared" si="15"/>
        <v/>
      </c>
    </row>
    <row r="32" spans="1:15" x14ac:dyDescent="0.25">
      <c r="A32" s="4" t="s">
        <v>24</v>
      </c>
      <c r="B32" s="5"/>
      <c r="C32" s="6" t="str">
        <f>IF($E$25=$A32,"DOELREGIO",IF(B32="","",IF(AND(B32&gt;200,RANK(B32,$B$29:$B$36)&lt;=2),"DOELREGIO","")))</f>
        <v/>
      </c>
      <c r="D32" s="5"/>
      <c r="E32" s="6" t="str">
        <f t="shared" si="8"/>
        <v/>
      </c>
      <c r="F32" s="7" t="str">
        <f t="shared" si="9"/>
        <v/>
      </c>
      <c r="G32" s="5"/>
      <c r="H32" s="6" t="str">
        <f t="shared" si="10"/>
        <v/>
      </c>
      <c r="I32" s="7" t="str">
        <f t="shared" si="11"/>
        <v/>
      </c>
      <c r="J32" s="5"/>
      <c r="K32" s="6" t="str">
        <f t="shared" si="12"/>
        <v/>
      </c>
      <c r="L32" s="7" t="str">
        <f t="shared" si="13"/>
        <v/>
      </c>
      <c r="M32" s="5"/>
      <c r="N32" s="6" t="str">
        <f t="shared" si="14"/>
        <v/>
      </c>
      <c r="O32" s="7" t="str">
        <f t="shared" si="15"/>
        <v/>
      </c>
    </row>
    <row r="33" spans="1:15" x14ac:dyDescent="0.25">
      <c r="A33" s="4" t="s">
        <v>25</v>
      </c>
      <c r="B33" s="5"/>
      <c r="C33" s="6" t="str">
        <f>IF($E$25=$A33,"DOELREGIO",IF(B33="","",IF(AND(B33&gt;200,RANK(B33,$B$29:$B$36)&lt;=2),"DOELREGIO","")))</f>
        <v/>
      </c>
      <c r="D33" s="5"/>
      <c r="E33" s="6" t="str">
        <f t="shared" si="8"/>
        <v/>
      </c>
      <c r="F33" s="7" t="str">
        <f t="shared" si="9"/>
        <v/>
      </c>
      <c r="G33" s="5"/>
      <c r="H33" s="6" t="str">
        <f t="shared" si="10"/>
        <v/>
      </c>
      <c r="I33" s="7" t="str">
        <f t="shared" si="11"/>
        <v/>
      </c>
      <c r="J33" s="5"/>
      <c r="K33" s="6" t="str">
        <f t="shared" si="12"/>
        <v/>
      </c>
      <c r="L33" s="7" t="str">
        <f t="shared" si="13"/>
        <v/>
      </c>
      <c r="M33" s="5"/>
      <c r="N33" s="6" t="str">
        <f t="shared" si="14"/>
        <v/>
      </c>
      <c r="O33" s="7" t="str">
        <f t="shared" si="15"/>
        <v/>
      </c>
    </row>
    <row r="34" spans="1:15" x14ac:dyDescent="0.25">
      <c r="A34" s="4" t="s">
        <v>26</v>
      </c>
      <c r="B34" s="5"/>
      <c r="C34" s="6" t="str">
        <f>IF($E$25=$A34,"DOELREGIO",IF(B34="","",IF(AND(B34&gt;200,RANK(B34,$B$29:$B$36)&lt;=2),"DOELREGIO","")))</f>
        <v/>
      </c>
      <c r="D34" s="5"/>
      <c r="E34" s="6" t="str">
        <f t="shared" si="8"/>
        <v/>
      </c>
      <c r="F34" s="7" t="str">
        <f t="shared" si="9"/>
        <v/>
      </c>
      <c r="G34" s="5"/>
      <c r="H34" s="6" t="str">
        <f t="shared" si="10"/>
        <v/>
      </c>
      <c r="I34" s="7" t="str">
        <f t="shared" si="11"/>
        <v/>
      </c>
      <c r="J34" s="5"/>
      <c r="K34" s="6" t="str">
        <f t="shared" si="12"/>
        <v/>
      </c>
      <c r="L34" s="7" t="str">
        <f t="shared" si="13"/>
        <v/>
      </c>
      <c r="M34" s="5"/>
      <c r="N34" s="6" t="str">
        <f t="shared" si="14"/>
        <v/>
      </c>
      <c r="O34" s="7" t="str">
        <f t="shared" si="15"/>
        <v/>
      </c>
    </row>
    <row r="35" spans="1:15" x14ac:dyDescent="0.25">
      <c r="A35" s="4" t="s">
        <v>27</v>
      </c>
      <c r="B35" s="5"/>
      <c r="C35" s="6" t="str">
        <f>IF($E$25=$A35,"DOELREGIO",IF(B35="","",IF(AND(B35&gt;200,RANK(B35,$B$29:$B$36)&lt;=2),"DOELREGIO","")))</f>
        <v/>
      </c>
      <c r="D35" s="5"/>
      <c r="E35" s="6" t="str">
        <f t="shared" si="8"/>
        <v/>
      </c>
      <c r="F35" s="7" t="str">
        <f t="shared" si="9"/>
        <v/>
      </c>
      <c r="G35" s="5"/>
      <c r="H35" s="6" t="str">
        <f t="shared" si="10"/>
        <v/>
      </c>
      <c r="I35" s="7" t="str">
        <f t="shared" si="11"/>
        <v/>
      </c>
      <c r="J35" s="5"/>
      <c r="K35" s="6" t="str">
        <f t="shared" si="12"/>
        <v/>
      </c>
      <c r="L35" s="7" t="str">
        <f t="shared" si="13"/>
        <v/>
      </c>
      <c r="M35" s="5"/>
      <c r="N35" s="6" t="str">
        <f t="shared" si="14"/>
        <v/>
      </c>
      <c r="O35" s="7" t="str">
        <f t="shared" si="15"/>
        <v/>
      </c>
    </row>
    <row r="36" spans="1:15" x14ac:dyDescent="0.25">
      <c r="A36" s="4" t="s">
        <v>28</v>
      </c>
      <c r="B36" s="5"/>
      <c r="C36" s="6" t="str">
        <f>IF($E$25=$A36,"DOELREGIO",IF(B36="","",IF(AND(B36&gt;200,RANK(B36,$B$29:$B$36)&lt;=2),"DOELREGIO","")))</f>
        <v/>
      </c>
      <c r="D36" s="5"/>
      <c r="E36" s="6" t="str">
        <f t="shared" si="8"/>
        <v/>
      </c>
      <c r="F36" s="7" t="str">
        <f t="shared" si="9"/>
        <v/>
      </c>
      <c r="G36" s="5"/>
      <c r="H36" s="6" t="str">
        <f t="shared" si="10"/>
        <v/>
      </c>
      <c r="I36" s="7" t="str">
        <f t="shared" si="11"/>
        <v/>
      </c>
      <c r="J36" s="5"/>
      <c r="K36" s="6" t="str">
        <f t="shared" si="12"/>
        <v/>
      </c>
      <c r="L36" s="7" t="str">
        <f t="shared" si="13"/>
        <v/>
      </c>
      <c r="M36" s="5"/>
      <c r="N36" s="6" t="str">
        <f t="shared" si="14"/>
        <v/>
      </c>
      <c r="O36" s="7" t="str">
        <f t="shared" si="15"/>
        <v/>
      </c>
    </row>
    <row r="39" spans="1:15" ht="18" customHeight="1" x14ac:dyDescent="0.25">
      <c r="A39" s="23" t="s">
        <v>29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15" ht="90" customHeight="1" x14ac:dyDescent="0.25">
      <c r="A40" s="24" t="s">
        <v>37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 spans="1:15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spans="1:15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</row>
    <row r="44" spans="1:15" ht="18" customHeight="1" x14ac:dyDescent="0.25">
      <c r="A44" s="23" t="s">
        <v>38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</row>
    <row r="45" spans="1:15" ht="15.95" customHeight="1" x14ac:dyDescent="0.25">
      <c r="A45" s="20" t="s">
        <v>39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</row>
    <row r="46" spans="1:15" ht="15.9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</row>
    <row r="48" spans="1:15" x14ac:dyDescent="0.25">
      <c r="A48" s="12" t="s">
        <v>40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4"/>
    </row>
    <row r="49" spans="1:15" x14ac:dyDescent="0.25">
      <c r="A49" s="15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6"/>
    </row>
    <row r="50" spans="1:15" x14ac:dyDescent="0.25">
      <c r="A50" s="15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6"/>
    </row>
    <row r="51" spans="1:15" x14ac:dyDescent="0.25">
      <c r="A51" s="15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6"/>
    </row>
    <row r="52" spans="1:15" x14ac:dyDescent="0.25">
      <c r="A52" s="15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6"/>
    </row>
    <row r="53" spans="1:15" x14ac:dyDescent="0.25">
      <c r="A53" s="15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6"/>
    </row>
    <row r="54" spans="1:15" x14ac:dyDescent="0.25">
      <c r="A54" s="15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6"/>
    </row>
    <row r="55" spans="1:15" x14ac:dyDescent="0.25">
      <c r="A55" s="15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6"/>
    </row>
    <row r="56" spans="1:15" x14ac:dyDescent="0.25">
      <c r="A56" s="15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6"/>
    </row>
    <row r="57" spans="1:15" x14ac:dyDescent="0.25">
      <c r="A57" s="15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6"/>
    </row>
    <row r="58" spans="1:15" x14ac:dyDescent="0.25">
      <c r="A58" s="15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6"/>
    </row>
    <row r="59" spans="1:15" x14ac:dyDescent="0.25">
      <c r="A59" s="15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6"/>
    </row>
    <row r="60" spans="1:15" x14ac:dyDescent="0.25">
      <c r="A60" s="15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6"/>
    </row>
    <row r="61" spans="1:15" x14ac:dyDescent="0.25">
      <c r="A61" s="15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6"/>
    </row>
    <row r="62" spans="1:15" x14ac:dyDescent="0.25">
      <c r="A62" s="15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6"/>
    </row>
    <row r="63" spans="1:15" x14ac:dyDescent="0.25">
      <c r="A63" s="15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6"/>
    </row>
    <row r="64" spans="1:15" x14ac:dyDescent="0.25">
      <c r="A64" s="15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6"/>
    </row>
    <row r="65" spans="1:15" x14ac:dyDescent="0.25">
      <c r="A65" s="15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6"/>
    </row>
    <row r="66" spans="1:15" x14ac:dyDescent="0.25">
      <c r="A66" s="15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6"/>
    </row>
    <row r="67" spans="1:15" x14ac:dyDescent="0.25">
      <c r="A67" s="15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6"/>
    </row>
    <row r="68" spans="1:15" x14ac:dyDescent="0.25">
      <c r="A68" s="15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6"/>
    </row>
    <row r="69" spans="1:15" x14ac:dyDescent="0.25">
      <c r="A69" s="17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9"/>
    </row>
    <row r="71" spans="1:15" ht="15.95" customHeight="1" x14ac:dyDescent="0.25">
      <c r="A71" s="8" t="s">
        <v>30</v>
      </c>
      <c r="C71" s="26"/>
      <c r="D71" s="27"/>
      <c r="E71" s="27"/>
      <c r="F71" s="28"/>
    </row>
  </sheetData>
  <mergeCells count="31">
    <mergeCell ref="A1:O1"/>
    <mergeCell ref="C71:F71"/>
    <mergeCell ref="C14:C15"/>
    <mergeCell ref="A12:D12"/>
    <mergeCell ref="E12:G12"/>
    <mergeCell ref="H12:O12"/>
    <mergeCell ref="A25:D25"/>
    <mergeCell ref="E25:G25"/>
    <mergeCell ref="H25:O25"/>
    <mergeCell ref="A2:O2"/>
    <mergeCell ref="G14:I14"/>
    <mergeCell ref="M27:O27"/>
    <mergeCell ref="A14:A15"/>
    <mergeCell ref="M14:O14"/>
    <mergeCell ref="D14:F14"/>
    <mergeCell ref="A13:O13"/>
    <mergeCell ref="C27:C28"/>
    <mergeCell ref="J14:L14"/>
    <mergeCell ref="G27:I27"/>
    <mergeCell ref="B14:B15"/>
    <mergeCell ref="A3:O3"/>
    <mergeCell ref="A27:A28"/>
    <mergeCell ref="A26:O26"/>
    <mergeCell ref="B27:B28"/>
    <mergeCell ref="D27:F27"/>
    <mergeCell ref="J27:L27"/>
    <mergeCell ref="A48:O69"/>
    <mergeCell ref="A45:O46"/>
    <mergeCell ref="A44:O44"/>
    <mergeCell ref="A39:O39"/>
    <mergeCell ref="A40:O42"/>
  </mergeCells>
  <conditionalFormatting sqref="G16:G23">
    <cfRule type="expression" dxfId="5" priority="6" stopIfTrue="1">
      <formula>AND(G16&lt;&gt;"",D16&lt;&gt;"",G16&gt;=1.05*D16)</formula>
    </cfRule>
  </conditionalFormatting>
  <conditionalFormatting sqref="J16:J23">
    <cfRule type="expression" dxfId="4" priority="5" stopIfTrue="1">
      <formula>AND(J16&lt;&gt;"",G16&lt;&gt;"",J16&gt;=1.05*G16)</formula>
    </cfRule>
  </conditionalFormatting>
  <conditionalFormatting sqref="M16:M23">
    <cfRule type="expression" dxfId="3" priority="4" stopIfTrue="1">
      <formula>AND(M16&lt;&gt;"",J16&lt;&gt;"",M16&gt;=1.05*J16)</formula>
    </cfRule>
  </conditionalFormatting>
  <conditionalFormatting sqref="G29:G36">
    <cfRule type="expression" dxfId="2" priority="3" stopIfTrue="1">
      <formula>AND(G29&lt;&gt;"",D29&lt;&gt;"",G29&gt;=1.05*D29)</formula>
    </cfRule>
  </conditionalFormatting>
  <conditionalFormatting sqref="J29:J36">
    <cfRule type="expression" dxfId="1" priority="2" stopIfTrue="1">
      <formula>AND(J29&lt;&gt;"",G29&lt;&gt;"",J29&gt;=1.05*G29)</formula>
    </cfRule>
  </conditionalFormatting>
  <conditionalFormatting sqref="M29:M36">
    <cfRule type="expression" dxfId="0" priority="1" stopIfTrue="1">
      <formula>AND(M29&lt;&gt;"",J29&lt;&gt;"",M29&gt;=1.05*J29)</formula>
    </cfRule>
  </conditionalFormatting>
  <dataValidations count="2">
    <dataValidation type="list" allowBlank="1" showInputMessage="1" showErrorMessage="1" sqref="E12:G12" xr:uid="{1C4E09A8-958B-4066-85A0-C5FEA1B4EEF5}">
      <formula1>$A$16:$A$23</formula1>
    </dataValidation>
    <dataValidation type="list" allowBlank="1" showInputMessage="1" showErrorMessage="1" sqref="E25:G25" xr:uid="{D2318447-205C-47DB-A823-25A36F16FCE9}">
      <formula1>$A$29:$A$36</formula1>
    </dataValidation>
  </dataValidations>
  <pageMargins left="0.75" right="0.75" top="1" bottom="1" header="0.5" footer="0.5"/>
  <pageSetup fitToHeight="0" orientation="landscape"/>
  <headerFooter>
    <oddFooter>&amp;C&amp;8 PARADISE-studie  ·  eCRF 24b: Opvolgtool piekdruk en ontlasting (Novel pedar)  ·  Versie 02/08/2026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Opvolgtool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Janou De Buyser</cp:lastModifiedBy>
  <dcterms:created xsi:type="dcterms:W3CDTF">2026-07-30T07:04:59Z</dcterms:created>
  <dcterms:modified xsi:type="dcterms:W3CDTF">2026-09-25T12:27:25Z</dcterms:modified>
</cp:coreProperties>
</file>
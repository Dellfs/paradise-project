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720" tabRatio="600" firstSheet="0" activeTab="4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Taken" sheetId="2" state="visible" r:id="rId2"/>
    <sheet xmlns:r="http://schemas.openxmlformats.org/officeDocument/2006/relationships" name="Openstaande punten" sheetId="3" state="visible" r:id="rId3"/>
    <sheet xmlns:r="http://schemas.openxmlformats.org/officeDocument/2006/relationships" name="Go-NoGo" sheetId="4" state="visible" r:id="rId4"/>
    <sheet xmlns:r="http://schemas.openxmlformats.org/officeDocument/2006/relationships" name="Mijlpalen" sheetId="5" state="visible" r:id="rId5"/>
  </sheets>
  <definedNames>
    <definedName name="_xlnm._FilterDatabase" localSheetId="1" hidden="1">'Taken'!$A$4:$I$79</definedName>
    <definedName name="_xlnm.Print_Titles" localSheetId="1">'Taken'!$4:$4</definedName>
    <definedName name="_xlnm._FilterDatabase" localSheetId="2" hidden="1">'Openstaande punten'!$A$4:$G$29</definedName>
    <definedName name="_xlnm.Print_Titles" localSheetId="2">'Openstaande punten'!$4:$4</definedName>
    <definedName name="_xlnm._FilterDatabase" localSheetId="3" hidden="1">'Go-NoGo'!$A$4:$F$12</definedName>
    <definedName name="_xlnm.Print_Titles" localSheetId="3">'Go-NoGo'!$4:$4</definedName>
    <definedName name="_xlnm._FilterDatabase" localSheetId="4" hidden="1">'Mijlpalen'!$A$4:$G$11</definedName>
    <definedName name="_xlnm.Print_Titles" localSheetId="4">'Mijlpalen'!$4:$4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00407A"/>
      <sz val="14"/>
    </font>
    <font>
      <name val="Calibri"/>
      <i val="1"/>
      <color rgb="FF4A6880"/>
      <sz val="9"/>
    </font>
    <font>
      <name val="Calibri"/>
      <b val="1"/>
      <color rgb="FFFFFFFF"/>
      <sz val="10"/>
    </font>
    <font>
      <name val="Calibri"/>
      <b val="1"/>
      <color rgb="FF00407A"/>
      <sz val="10"/>
    </font>
    <font>
      <name val="Calibri"/>
      <sz val="10"/>
    </font>
    <font>
      <name val="Calibri"/>
      <b val="1"/>
      <color rgb="FF00407A"/>
      <sz val="18"/>
    </font>
    <font>
      <name val="Calibri"/>
      <color rgb="FF4A6880"/>
      <sz val="10"/>
    </font>
    <font>
      <name val="Calibri"/>
      <b val="1"/>
      <sz val="10"/>
    </font>
    <font>
      <name val="Calibri"/>
      <family val="2"/>
      <color theme="10"/>
      <sz val="11"/>
      <u val="single"/>
      <scheme val="minor"/>
    </font>
    <font>
      <name val="Calibri"/>
      <b val="1"/>
      <color rgb="0000407A"/>
      <sz val="10"/>
    </font>
  </fonts>
  <fills count="4">
    <fill>
      <patternFill/>
    </fill>
    <fill>
      <patternFill patternType="gray125"/>
    </fill>
    <fill>
      <patternFill patternType="solid">
        <fgColor rgb="FF1D8DB0"/>
      </patternFill>
    </fill>
    <fill>
      <patternFill patternType="solid">
        <fgColor rgb="FFEBF4FB"/>
      </patternFill>
    </fill>
  </fills>
  <borders count="8">
    <border>
      <left/>
      <right/>
      <top/>
      <bottom/>
      <diagonal/>
    </border>
    <border>
      <left style="thin">
        <color rgb="FFC8DFF0"/>
      </left>
      <right style="thin">
        <color rgb="FFC8DFF0"/>
      </right>
      <top style="thin">
        <color rgb="FFC8DFF0"/>
      </top>
      <bottom style="thin">
        <color rgb="FFC8DFF0"/>
      </bottom>
      <diagonal/>
    </border>
    <border>
      <left style="thin">
        <color rgb="FFC8DFF0"/>
      </left>
      <right style="thin">
        <color rgb="FFC8DFF0"/>
      </right>
      <top/>
      <bottom/>
      <diagonal/>
    </border>
    <border>
      <left/>
      <right/>
      <top style="thin">
        <color rgb="FFC8DFF0"/>
      </top>
      <bottom/>
      <diagonal/>
    </border>
    <border>
      <left/>
      <right style="thin">
        <color rgb="FFC8DFF0"/>
      </right>
      <top style="thin">
        <color rgb="FFC8DFF0"/>
      </top>
      <bottom/>
      <diagonal/>
    </border>
    <border>
      <left/>
      <right/>
      <top style="thin">
        <color rgb="FFC8DFF0"/>
      </top>
      <bottom style="thin">
        <color rgb="FFC8DFF0"/>
      </bottom>
      <diagonal/>
    </border>
    <border>
      <left/>
      <right style="thin">
        <color rgb="FFC8DFF0"/>
      </right>
      <top style="thin">
        <color rgb="FFC8DFF0"/>
      </top>
      <bottom style="thin">
        <color rgb="FFC8DFF0"/>
      </bottom>
      <diagonal/>
    </border>
    <border>
      <left style="thin">
        <color rgb="00C8DFF0"/>
      </left>
      <right style="thin">
        <color rgb="00C8DFF0"/>
      </right>
      <top style="thin">
        <color rgb="00C8DFF0"/>
      </top>
      <bottom style="thin">
        <color rgb="00C8DFF0"/>
      </bottom>
    </border>
  </borders>
  <cellStyleXfs count="2">
    <xf numFmtId="0" fontId="0" fillId="0" borderId="0"/>
    <xf numFmtId="0" fontId="9" fillId="0" borderId="0"/>
  </cellStyleXfs>
  <cellXfs count="26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8" fillId="0" borderId="1" pivotButton="0" quotePrefix="0" xfId="0"/>
    <xf numFmtId="0" fontId="0" fillId="0" borderId="1" applyAlignment="1" pivotButton="0" quotePrefix="0" xfId="0">
      <alignment horizontal="center"/>
    </xf>
    <xf numFmtId="0" fontId="8" fillId="3" borderId="1" pivotButton="0" quotePrefix="0" xfId="0"/>
    <xf numFmtId="0" fontId="8" fillId="3" borderId="1" applyAlignment="1" pivotButton="0" quotePrefix="0" xfId="0">
      <alignment horizontal="center"/>
    </xf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2" applyAlignment="1" pivotButton="0" quotePrefix="0" xfId="0">
      <alignment vertical="top"/>
    </xf>
    <xf numFmtId="0" fontId="7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3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9" fillId="0" borderId="0" applyAlignment="1" pivotButton="0" quotePrefix="0" xfId="1">
      <alignment wrapText="1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vertical="top"/>
    </xf>
    <xf numFmtId="0" fontId="5" fillId="0" borderId="7" applyAlignment="1" pivotButton="0" quotePrefix="0" xfId="0">
      <alignment vertical="top" wrapText="1"/>
    </xf>
    <xf numFmtId="0" fontId="5" fillId="0" borderId="7" applyAlignment="1" pivotButton="0" quotePrefix="0" xfId="0">
      <alignment vertical="top"/>
    </xf>
    <xf numFmtId="0" fontId="10" fillId="0" borderId="0" pivotButton="0" quotePrefix="0" xfId="0"/>
  </cellXfs>
  <cellStyles count="2">
    <cellStyle name="Standaard" xfId="0" builtinId="0"/>
    <cellStyle name="Hyperlink" xfId="1" builtinId="8"/>
  </cellStyles>
  <dxfs count="22"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color rgb="FFA02A1A"/>
      </font>
      <fill>
        <patternFill patternType="solid">
          <fgColor rgb="FFFBDDD8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i val="1"/>
        <color rgb="FF7A8A99"/>
      </font>
      <fill>
        <patternFill patternType="solid">
          <fgColor rgb="FFEDEFF1"/>
        </patternFill>
      </fill>
    </dxf>
    <dxf>
      <font>
        <b val="1"/>
        <color rgb="FFA02A1A"/>
      </font>
      <fill>
        <patternFill patternType="solid">
          <fgColor rgb="FFFBDDD8"/>
        </patternFill>
      </fill>
    </dxf>
    <dxf>
      <font>
        <color rgb="FF8A5000"/>
      </font>
      <fill>
        <patternFill patternType="solid">
          <fgColor rgb="FFFFF0D6"/>
        </patternFill>
      </fill>
    </dxf>
    <dxf>
      <font>
        <b val="1"/>
        <color rgb="FF1E6B32"/>
      </font>
      <fill>
        <patternFill patternType="solid">
          <fgColor rgb="FFD6EEDB"/>
        </patternFill>
      </fill>
    </dxf>
    <dxf>
      <font>
        <b val="1"/>
        <color rgb="001E6B32"/>
      </font>
      <fill>
        <patternFill patternType="solid">
          <fgColor rgb="00D6EEDB"/>
        </patternFill>
      </fill>
    </dxf>
    <dxf>
      <font>
        <color rgb="008A5000"/>
      </font>
      <fill>
        <patternFill patternType="solid">
          <fgColor rgb="00FFF0D6"/>
        </patternFill>
      </fill>
    </dxf>
    <dxf>
      <font>
        <b val="1"/>
        <color rgb="00A02A1A"/>
      </font>
      <fill>
        <patternFill patternType="solid">
          <fgColor rgb="00FBDDD8"/>
        </patternFill>
      </fill>
    </dxf>
    <dxf>
      <font>
        <i val="1"/>
        <color rgb="007A8A99"/>
      </font>
      <fill>
        <patternFill patternType="solid">
          <fgColor rgb="00ED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uroqol.org/register/?utm_source=chatgpt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G26" sqref="G26"/>
    </sheetView>
  </sheetViews>
  <sheetFormatPr baseColWidth="8" defaultRowHeight="15"/>
  <cols>
    <col width="26" customWidth="1" style="14" min="1" max="1"/>
    <col width="10" customWidth="1" style="14" min="2" max="5"/>
    <col width="13" customWidth="1" style="14" min="6" max="6"/>
    <col width="10" customWidth="1" style="14" min="7" max="7"/>
    <col width="11" customWidth="1" style="14" min="8" max="8"/>
  </cols>
  <sheetData>
    <row r="1" ht="23.25" customHeight="1" s="14">
      <c r="A1" s="1" t="inlineStr">
        <is>
          <t>PARADISE — werkpakket 1</t>
        </is>
      </c>
    </row>
    <row r="2">
      <c r="A2" s="18" t="n"/>
    </row>
    <row r="4">
      <c r="A4" s="13" t="n"/>
    </row>
    <row r="6">
      <c r="A6" s="3" t="inlineStr">
        <is>
          <t>Blad</t>
        </is>
      </c>
      <c r="B6" s="3" t="inlineStr">
        <is>
          <t>Totaal</t>
        </is>
      </c>
      <c r="C6" s="3" t="inlineStr">
        <is>
          <t>Te doen</t>
        </is>
      </c>
      <c r="D6" s="3" t="inlineStr">
        <is>
          <t>Bezig</t>
        </is>
      </c>
      <c r="E6" s="3" t="inlineStr">
        <is>
          <t>Klaar</t>
        </is>
      </c>
      <c r="F6" s="3" t="inlineStr">
        <is>
          <t>Geblokkeerd</t>
        </is>
      </c>
      <c r="G6" s="3" t="inlineStr">
        <is>
          <t>Vervalt</t>
        </is>
      </c>
      <c r="H6" s="3" t="inlineStr">
        <is>
          <t>Klaar (%)</t>
        </is>
      </c>
    </row>
    <row r="7">
      <c r="A7" s="4" t="inlineStr">
        <is>
          <t>Taken</t>
        </is>
      </c>
      <c r="B7" s="5">
        <f>COUNTA(Taken!$H$5:$H$79)</f>
        <v/>
      </c>
      <c r="C7" s="5">
        <f>COUNTIF(Taken!$H$5:$H$79,"Te doen")</f>
        <v/>
      </c>
      <c r="D7" s="5">
        <f>COUNTIF(Taken!$H$5:$H$79,"Bezig")</f>
        <v/>
      </c>
      <c r="E7" s="5">
        <f>COUNTIF(Taken!$H$5:$H$79,"Klaar")</f>
        <v/>
      </c>
      <c r="F7" s="5">
        <f>COUNTIF(Taken!$H$5:$H$79,"Geblokkeerd")</f>
        <v/>
      </c>
      <c r="G7" s="5">
        <f>COUNTIF(Taken!$H$5:$H$79,"Vervalt")</f>
        <v/>
      </c>
      <c r="H7" s="5">
        <f>IF(B7=0,"",ROUND(E7/B7*100,0))</f>
        <v/>
      </c>
    </row>
    <row r="8">
      <c r="A8" s="4" t="inlineStr">
        <is>
          <t>Openstaande punten</t>
        </is>
      </c>
      <c r="B8" s="5">
        <f>COUNTA('Openstaande punten'!$F$5:$F$32)</f>
        <v/>
      </c>
      <c r="C8" s="5">
        <f>COUNTIF('Openstaande punten'!$F$5:$F$32,"Te doen")</f>
        <v/>
      </c>
      <c r="D8" s="5">
        <f>COUNTIF('Openstaande punten'!$F$5:$F$32,"Bezig")</f>
        <v/>
      </c>
      <c r="E8" s="5">
        <f>COUNTIF('Openstaande punten'!$F$5:$F$32,"Klaar")</f>
        <v/>
      </c>
      <c r="F8" s="5">
        <f>COUNTIF('Openstaande punten'!$F$5:$F$32,"Geblokkeerd")</f>
        <v/>
      </c>
      <c r="G8" s="5">
        <f>COUNTIF('Openstaande punten'!$F$5:$F$32,"Vervalt")</f>
        <v/>
      </c>
      <c r="H8" s="5">
        <f>IF(B8=0,"",ROUND(E8/B8*100,0))</f>
        <v/>
      </c>
    </row>
    <row r="9">
      <c r="A9" s="4" t="inlineStr">
        <is>
          <t>Go-NoGo</t>
        </is>
      </c>
      <c r="B9" s="5">
        <f>COUNTA('Go-NoGo'!$E$5:$E$12)</f>
        <v/>
      </c>
      <c r="C9" s="5">
        <f>COUNTIF('Go-NoGo'!$E$5:$E$12,"Te doen")</f>
        <v/>
      </c>
      <c r="D9" s="5">
        <f>COUNTIF('Go-NoGo'!$E$5:$E$12,"Bezig")</f>
        <v/>
      </c>
      <c r="E9" s="5">
        <f>COUNTIF('Go-NoGo'!$E$5:$E$12,"Klaar")</f>
        <v/>
      </c>
      <c r="F9" s="5">
        <f>COUNTIF('Go-NoGo'!$E$5:$E$12,"Geblokkeerd")</f>
        <v/>
      </c>
      <c r="G9" s="5">
        <f>COUNTIF('Go-NoGo'!$E$5:$E$12,"Vervalt")</f>
        <v/>
      </c>
      <c r="H9" s="5">
        <f>IF(B9=0,"",ROUND(E9/B9*100,0))</f>
        <v/>
      </c>
    </row>
    <row r="10">
      <c r="A10" s="4" t="inlineStr">
        <is>
          <t>Mijlpalen</t>
        </is>
      </c>
      <c r="B10" s="5">
        <f>COUNTA(Mijlpalen!$F$5:$F$11)</f>
        <v/>
      </c>
      <c r="C10" s="5">
        <f>COUNTIF(Mijlpalen!$F$5:$F$11,"Te doen")</f>
        <v/>
      </c>
      <c r="D10" s="5">
        <f>COUNTIF(Mijlpalen!$F$5:$F$11,"Bezig")</f>
        <v/>
      </c>
      <c r="E10" s="5">
        <f>COUNTIF(Mijlpalen!$F$5:$F$11,"Klaar")</f>
        <v/>
      </c>
      <c r="F10" s="5">
        <f>COUNTIF(Mijlpalen!$F$5:$F$11,"Geblokkeerd")</f>
        <v/>
      </c>
      <c r="G10" s="5">
        <f>COUNTIF(Mijlpalen!$F$5:$F$11,"Vervalt")</f>
        <v/>
      </c>
      <c r="H10" s="5">
        <f>IF(B10=0,"",ROUND(E10/B10*100,0))</f>
        <v/>
      </c>
    </row>
    <row r="11">
      <c r="A11" s="6" t="inlineStr">
        <is>
          <t>Alles samen</t>
        </is>
      </c>
      <c r="B11" s="7">
        <f>SUM(B7:B10)</f>
        <v/>
      </c>
      <c r="C11" s="7">
        <f>SUM(C7:C10)</f>
        <v/>
      </c>
      <c r="D11" s="7">
        <f>SUM(D7:D10)</f>
        <v/>
      </c>
      <c r="E11" s="7">
        <f>SUM(E7:E10)</f>
        <v/>
      </c>
      <c r="F11" s="7">
        <f>SUM(F7:F10)</f>
        <v/>
      </c>
      <c r="G11" s="7">
        <f>SUM(G7:G10)</f>
        <v/>
      </c>
      <c r="H11" s="7">
        <f>IF(B11=0,"",ROUND(E11/B11*100,0))</f>
        <v/>
      </c>
    </row>
    <row r="12">
      <c r="A12" s="18" t="inlineStr">
        <is>
          <t>Statuswaarden: Te doen · Bezig · Klaar · Geblokkeerd · Vervalt</t>
        </is>
      </c>
    </row>
    <row r="15">
      <c r="A15" s="18" t="n"/>
    </row>
  </sheetData>
  <mergeCells count="1"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workbookViewId="0">
      <pane ySplit="4" topLeftCell="A71" activePane="bottomLeft" state="frozen"/>
      <selection pane="bottomLeft" activeCell="C30" sqref="C30"/>
    </sheetView>
  </sheetViews>
  <sheetFormatPr baseColWidth="8" defaultRowHeight="15"/>
  <cols>
    <col width="7" customWidth="1" style="14" min="1" max="1"/>
    <col width="26" customWidth="1" style="14" min="2" max="2"/>
    <col width="62" customWidth="1" style="14" min="3" max="3"/>
    <col width="10" customWidth="1" style="14" min="4" max="4"/>
    <col width="16" customWidth="1" style="14" min="5" max="5"/>
    <col width="11" customWidth="1" style="14" min="6" max="6"/>
    <col width="20" customWidth="1" style="14" min="7" max="7"/>
    <col width="13" customWidth="1" style="14" min="8" max="8"/>
    <col width="26" customWidth="1" style="14" min="9" max="9"/>
  </cols>
  <sheetData>
    <row r="1" ht="18.75" customHeight="1" s="14">
      <c r="A1" s="15" t="inlineStr">
        <is>
          <t>Werkpakket 1 — taken en deelactiviteiten</t>
        </is>
      </c>
    </row>
    <row r="2">
      <c r="A2" s="18" t="inlineStr">
        <is>
          <t>De acht taken uit de FWO-aanvraag, met de deelactiviteiten uit het operationele draaiboek. Maanden geteld vanaf september 2026.</t>
        </is>
      </c>
    </row>
    <row r="4" ht="26.1" customHeight="1" s="14">
      <c r="A4" s="8" t="inlineStr">
        <is>
          <t>Nr</t>
        </is>
      </c>
      <c r="B4" s="8" t="inlineStr">
        <is>
          <t>Taak</t>
        </is>
      </c>
      <c r="C4" s="8" t="inlineStr">
        <is>
          <t>Wat er moet gebeuren</t>
        </is>
      </c>
      <c r="D4" s="8" t="inlineStr">
        <is>
          <t>Maanden</t>
        </is>
      </c>
      <c r="E4" s="8" t="inlineStr">
        <is>
          <t>Kalender</t>
        </is>
      </c>
      <c r="F4" s="8" t="inlineStr">
        <is>
          <t>Deliverable</t>
        </is>
      </c>
      <c r="G4" s="8" t="inlineStr">
        <is>
          <t>Wie</t>
        </is>
      </c>
      <c r="H4" s="8" t="inlineStr">
        <is>
          <t>Status</t>
        </is>
      </c>
      <c r="I4" s="8" t="inlineStr">
        <is>
          <t>Opmerking</t>
        </is>
      </c>
    </row>
    <row r="5">
      <c r="A5" s="16" t="inlineStr">
        <is>
          <t>Taak 1.1 — Ethische indiening en registratie · M1–5 · D1.1 · kritisch pad</t>
        </is>
      </c>
      <c r="B5" s="20" t="n"/>
      <c r="C5" s="20" t="n"/>
      <c r="D5" s="20" t="n"/>
      <c r="E5" s="20" t="n"/>
      <c r="F5" s="20" t="n"/>
      <c r="G5" s="20" t="n"/>
      <c r="H5" s="20" t="n"/>
      <c r="I5" s="21" t="n"/>
    </row>
    <row r="6" ht="38.25" customHeight="1" s="14">
      <c r="A6" s="9" t="inlineStr">
        <is>
          <t>1.1a</t>
        </is>
      </c>
      <c r="B6" s="10" t="inlineStr">
        <is>
          <t>Centrale indiening</t>
        </is>
      </c>
      <c r="C6" s="10" t="inlineStr">
        <is>
          <t>Clinical investigation plan, toestemmingsformulieren, patiëntmateriaal en investigator's brochure indienen bij EC UZ Leuven, het FAGG en de zes lokale commissies</t>
        </is>
      </c>
      <c r="D6" s="10" t="inlineStr">
        <is>
          <t>1–2</t>
        </is>
      </c>
      <c r="E6" s="10" t="inlineStr">
        <is>
          <t>sep – okt 26</t>
        </is>
      </c>
      <c r="F6" s="10" t="inlineStr">
        <is>
          <t>D1.1</t>
        </is>
      </c>
      <c r="G6" s="10" t="inlineStr">
        <is>
          <t>PhD-A + Deschamps</t>
        </is>
      </c>
      <c r="H6" s="10" t="inlineStr">
        <is>
          <t>Bezig</t>
        </is>
      </c>
      <c r="I6" s="10" t="inlineStr">
        <is>
          <t xml:space="preserve">CTC en FAGG nog te doen </t>
        </is>
      </c>
    </row>
    <row r="7" ht="25.5" customHeight="1" s="14">
      <c r="A7" s="9" t="inlineStr">
        <is>
          <t>1.1b</t>
        </is>
      </c>
      <c r="B7" s="10" t="inlineStr">
        <is>
          <t>Toestemmingsformulieren</t>
        </is>
      </c>
      <c r="C7" s="10" t="inlineStr">
        <is>
          <t>Nederlands op maximaal B1-niveau, met GDPR-clausules; ook de deelnemende therapeuten tekenen</t>
        </is>
      </c>
      <c r="D7" s="10" t="inlineStr">
        <is>
          <t>1–2</t>
        </is>
      </c>
      <c r="E7" s="10" t="inlineStr">
        <is>
          <t>sep – okt 26</t>
        </is>
      </c>
      <c r="F7" s="10" t="inlineStr">
        <is>
          <t>D1.1</t>
        </is>
      </c>
      <c r="G7" s="10" t="inlineStr">
        <is>
          <t>PhD-A</t>
        </is>
      </c>
      <c r="H7" s="10" t="inlineStr">
        <is>
          <t>Klaar</t>
        </is>
      </c>
      <c r="I7" s="10" t="inlineStr">
        <is>
          <t>Bijlage 3 samengesteld op 10 sep</t>
        </is>
      </c>
    </row>
    <row r="8" ht="25.5" customHeight="1" s="14">
      <c r="A8" s="9" t="inlineStr">
        <is>
          <t>1.1c</t>
        </is>
      </c>
      <c r="B8" s="10" t="inlineStr">
        <is>
          <t>Verzekering</t>
        </is>
      </c>
      <c r="C8" s="10" t="inlineStr">
        <is>
          <t>Foutloze aansprakelijkheid van de sponsor volgens de wet van 7 mei 2004, gedekt via polis</t>
        </is>
      </c>
      <c r="D8" s="10" t="inlineStr">
        <is>
          <t>1–2</t>
        </is>
      </c>
      <c r="E8" s="10" t="inlineStr">
        <is>
          <t>sep – okt 26</t>
        </is>
      </c>
      <c r="F8" s="10" t="inlineStr">
        <is>
          <t>D1.1</t>
        </is>
      </c>
      <c r="G8" s="10" t="inlineStr">
        <is>
          <t>KU Leuven rechtsdienst</t>
        </is>
      </c>
      <c r="H8" s="10" t="inlineStr">
        <is>
          <t>Te doen</t>
        </is>
      </c>
      <c r="I8" s="10" t="inlineStr">
        <is>
          <t>?</t>
        </is>
      </c>
    </row>
    <row r="9" ht="25.5" customHeight="1" s="14">
      <c r="A9" s="9" t="inlineStr">
        <is>
          <t>1.1d</t>
        </is>
      </c>
      <c r="B9" s="10" t="inlineStr">
        <is>
          <t>Wettelijk kader vastleggen</t>
        </is>
      </c>
      <c r="C9" s="10" t="inlineStr">
        <is>
          <t>ISO 14155:2020 · Verordening 2017/745 · Verordening 2016/679 · wet 22 dec 2020 · KB 18 mei 2021 · wet 22 aug 2002 · Helsinki · ICH-GCP E6(R3)</t>
        </is>
      </c>
      <c r="D9" s="10" t="inlineStr">
        <is>
          <t>1</t>
        </is>
      </c>
      <c r="E9" s="10" t="inlineStr">
        <is>
          <t>sep 26</t>
        </is>
      </c>
      <c r="F9" s="10" t="inlineStr">
        <is>
          <t>D1.1</t>
        </is>
      </c>
      <c r="G9" s="10" t="inlineStr">
        <is>
          <t>PhD-A</t>
        </is>
      </c>
      <c r="H9" s="10" t="inlineStr">
        <is>
          <t>Klaar</t>
        </is>
      </c>
      <c r="I9" s="10" t="n"/>
    </row>
    <row r="10" ht="25.5" customHeight="1" s="14">
      <c r="A10" s="9" t="inlineStr">
        <is>
          <t>1.1e</t>
        </is>
      </c>
      <c r="B10" s="10" t="inlineStr">
        <is>
          <t>Monitoringopzet laten bevestigen</t>
        </is>
      </c>
      <c r="C10" s="10" t="inlineStr">
        <is>
          <t>Het coördinerende comité moet de opzet en de verenigbaarheid met ISO 14155 en ICH-GCP E6 bevestigen vóór de indiening</t>
        </is>
      </c>
      <c r="D10" s="10" t="inlineStr">
        <is>
          <t>1–2</t>
        </is>
      </c>
      <c r="E10" s="10" t="inlineStr">
        <is>
          <t>sep – okt 26</t>
        </is>
      </c>
      <c r="F10" s="10" t="inlineStr">
        <is>
          <t>D1.1</t>
        </is>
      </c>
      <c r="G10" s="10" t="inlineStr">
        <is>
          <t>Coördinerend comité</t>
        </is>
      </c>
      <c r="H10" s="10" t="inlineStr">
        <is>
          <t>Te doen</t>
        </is>
      </c>
      <c r="I10" s="10" t="inlineStr">
        <is>
          <t>Openstaand punt 25</t>
        </is>
      </c>
    </row>
    <row r="11">
      <c r="A11" s="9" t="inlineStr">
        <is>
          <t>1.1f</t>
        </is>
      </c>
      <c r="B11" s="10" t="inlineStr">
        <is>
          <t>Zes lokale goedkeuringen</t>
        </is>
      </c>
      <c r="C11" s="10" t="inlineStr">
        <is>
          <t>Per centrum indienen na de centrale beslissing, binnen dertig dagen</t>
        </is>
      </c>
      <c r="D11" s="10" t="inlineStr">
        <is>
          <t>2–5</t>
        </is>
      </c>
      <c r="E11" s="10" t="inlineStr">
        <is>
          <t>okt 26 – jan 27</t>
        </is>
      </c>
      <c r="F11" s="10" t="inlineStr">
        <is>
          <t>D1.1</t>
        </is>
      </c>
      <c r="G11" s="10" t="inlineStr">
        <is>
          <t>PhD-A + site-PI</t>
        </is>
      </c>
      <c r="H11" s="10" t="inlineStr">
        <is>
          <t>Bezig</t>
        </is>
      </c>
      <c r="I11" s="10" t="n"/>
    </row>
    <row r="12">
      <c r="A12" s="9" t="inlineStr">
        <is>
          <t>1.1g</t>
        </is>
      </c>
      <c r="B12" s="10" t="inlineStr">
        <is>
          <t>Site Agreements</t>
        </is>
      </c>
      <c r="C12" s="10" t="inlineStr">
        <is>
          <t>Per ziekenhuis, opgesteld met de juridische dienst</t>
        </is>
      </c>
      <c r="D12" s="10" t="inlineStr">
        <is>
          <t>2–5</t>
        </is>
      </c>
      <c r="E12" s="10" t="inlineStr">
        <is>
          <t>okt 26 – jan 27</t>
        </is>
      </c>
      <c r="F12" s="10" t="inlineStr">
        <is>
          <t>D1.1</t>
        </is>
      </c>
      <c r="G12" s="10" t="inlineStr">
        <is>
          <t>KU Leuven juridisch</t>
        </is>
      </c>
      <c r="H12" s="10" t="inlineStr">
        <is>
          <t>Klaar</t>
        </is>
      </c>
      <c r="I12" s="10" t="n"/>
    </row>
    <row r="13">
      <c r="A13" s="9" t="inlineStr">
        <is>
          <t>1.1h</t>
        </is>
      </c>
      <c r="B13" s="10" t="inlineStr">
        <is>
          <t>Subsidiecontracten</t>
        </is>
      </c>
      <c r="C13" s="10" t="inlineStr">
        <is>
          <t>KU Leuven met elk partnerziekenhuis</t>
        </is>
      </c>
      <c r="D13" s="10" t="inlineStr">
        <is>
          <t>2–5</t>
        </is>
      </c>
      <c r="E13" s="10" t="inlineStr">
        <is>
          <t>okt 26 – jan 27</t>
        </is>
      </c>
      <c r="F13" s="10" t="inlineStr">
        <is>
          <t>D1.1</t>
        </is>
      </c>
      <c r="G13" s="10" t="inlineStr">
        <is>
          <t>KU Leuven</t>
        </is>
      </c>
      <c r="H13" s="10" t="inlineStr">
        <is>
          <t>Klaar</t>
        </is>
      </c>
      <c r="I13" s="10" t="n"/>
    </row>
    <row r="14" ht="25.5" customHeight="1" s="14">
      <c r="A14" s="9" t="inlineStr">
        <is>
          <t>1.1i</t>
        </is>
      </c>
      <c r="B14" s="10" t="inlineStr">
        <is>
          <t>Studieregistratie</t>
        </is>
      </c>
      <c r="C14" s="10" t="inlineStr">
        <is>
          <t>ClinicalTrials.gov en BELCRI, vóór de eerste deelnemer. Vult meteen drie blanco velden in het manuscript</t>
        </is>
      </c>
      <c r="D14" s="10" t="inlineStr">
        <is>
          <t>2</t>
        </is>
      </c>
      <c r="E14" s="10" t="inlineStr">
        <is>
          <t>okt 26</t>
        </is>
      </c>
      <c r="F14" s="10" t="inlineStr">
        <is>
          <t>D1.1</t>
        </is>
      </c>
      <c r="G14" s="10" t="inlineStr">
        <is>
          <t>PhD-A</t>
        </is>
      </c>
      <c r="H14" s="10" t="inlineStr">
        <is>
          <t>Te doen</t>
        </is>
      </c>
      <c r="I14" s="10" t="inlineStr">
        <is>
          <t>Openstaand punt 21</t>
        </is>
      </c>
    </row>
    <row r="15">
      <c r="A15" s="9" t="inlineStr">
        <is>
          <t>1.1j</t>
        </is>
      </c>
      <c r="B15" s="10" t="inlineStr">
        <is>
          <t>Verwerkersovereenkomsten</t>
        </is>
      </c>
      <c r="C15" s="10" t="inlineStr">
        <is>
          <t>Per centrum, plus aanmelding bij de DPO en een datastroomdiagram</t>
        </is>
      </c>
      <c r="D15" s="10" t="inlineStr">
        <is>
          <t>2–3</t>
        </is>
      </c>
      <c r="E15" s="10" t="inlineStr">
        <is>
          <t>okt – nov 26</t>
        </is>
      </c>
      <c r="F15" s="10" t="inlineStr">
        <is>
          <t>D1.1</t>
        </is>
      </c>
      <c r="G15" s="10" t="inlineStr">
        <is>
          <t>DPO + PhD-A</t>
        </is>
      </c>
      <c r="H15" s="10" t="inlineStr">
        <is>
          <t>Klaar</t>
        </is>
      </c>
      <c r="I15" s="10" t="n"/>
    </row>
    <row r="16">
      <c r="A16" s="9" t="inlineStr">
        <is>
          <t>1.1k</t>
        </is>
      </c>
      <c r="B16" s="10" t="inlineStr">
        <is>
          <t>Bewaartermijn vastleggen</t>
        </is>
      </c>
      <c r="C16" s="10" t="inlineStr">
        <is>
          <t>Tien of vijftien jaar — de twee manuscriptversies spreken elkaar tegen</t>
        </is>
      </c>
      <c r="D16" s="10" t="inlineStr">
        <is>
          <t>2</t>
        </is>
      </c>
      <c r="E16" s="10" t="inlineStr">
        <is>
          <t>okt 26</t>
        </is>
      </c>
      <c r="F16" s="10" t="inlineStr">
        <is>
          <t>D1.1</t>
        </is>
      </c>
      <c r="G16" s="10" t="inlineStr">
        <is>
          <t>PhD-A</t>
        </is>
      </c>
      <c r="H16" s="10" t="inlineStr">
        <is>
          <t>Te doen</t>
        </is>
      </c>
      <c r="I16" s="10" t="inlineStr">
        <is>
          <t>Openstaand punt 10</t>
        </is>
      </c>
    </row>
    <row r="17">
      <c r="A17" s="16" t="inlineStr">
        <is>
          <t>Taak 1.2 — Assessment booklet · M1–5 · D1.2 · MS1</t>
        </is>
      </c>
      <c r="B17" s="20" t="n"/>
      <c r="C17" s="20" t="n"/>
      <c r="D17" s="20" t="n"/>
      <c r="E17" s="20" t="n"/>
      <c r="F17" s="20" t="n"/>
      <c r="G17" s="20" t="n"/>
      <c r="H17" s="20" t="n"/>
      <c r="I17" s="21" t="n"/>
    </row>
    <row r="18" ht="75" customHeight="1" s="14">
      <c r="A18" s="9" t="inlineStr">
        <is>
          <t>1.2a</t>
        </is>
      </c>
      <c r="B18" s="10" t="inlineStr">
        <is>
          <t>Gebruiksrechten instrumenten</t>
        </is>
      </c>
      <c r="C18" s="10" t="inlineStr">
        <is>
          <t>NAFF, HLS-EU-6, EQ-5D-5L (licentie EuroQol), iMCQ en iPCQ (iMTA), MOS-revised, slijtageschaal — met copyright-log</t>
        </is>
      </c>
      <c r="D18" s="10" t="inlineStr">
        <is>
          <t>1–2</t>
        </is>
      </c>
      <c r="E18" s="10" t="inlineStr">
        <is>
          <t>sep – okt 26</t>
        </is>
      </c>
      <c r="F18" s="10" t="inlineStr">
        <is>
          <t>D1.2</t>
        </is>
      </c>
      <c r="G18" s="10" t="inlineStr">
        <is>
          <t>PhD-A</t>
        </is>
      </c>
      <c r="H18" s="10" t="inlineStr">
        <is>
          <t>Te doen</t>
        </is>
      </c>
      <c r="I18" s="19" t="inlineStr">
        <is>
          <t>Register to use a EuroQol instrument - EuroQol https://www.imta.nl/questionnaires/imcq/register/?utm_source=chatgpt.com</t>
        </is>
      </c>
    </row>
    <row r="19" ht="25.5" customHeight="1" s="14">
      <c r="A19" s="9" t="inlineStr">
        <is>
          <t>1.2b</t>
        </is>
      </c>
      <c r="B19" s="10" t="inlineStr">
        <is>
          <t>CRF-set</t>
        </is>
      </c>
      <c r="C19" s="10" t="inlineStr">
        <is>
          <t>Volgens tabel 2 van het manuscript; papieren bronformulieren, daarna overzetten naar het elektronische CRF</t>
        </is>
      </c>
      <c r="D19" s="10" t="inlineStr">
        <is>
          <t>2–4</t>
        </is>
      </c>
      <c r="E19" s="10" t="inlineStr">
        <is>
          <t>okt – dec 26</t>
        </is>
      </c>
      <c r="F19" s="10" t="inlineStr">
        <is>
          <t>D1.2</t>
        </is>
      </c>
      <c r="G19" s="10" t="inlineStr">
        <is>
          <t>PhD-A + PhD-B</t>
        </is>
      </c>
      <c r="H19" s="10" t="inlineStr">
        <is>
          <t>Te doen</t>
        </is>
      </c>
      <c r="I19" s="10" t="n"/>
    </row>
    <row r="20">
      <c r="A20" s="9" t="inlineStr">
        <is>
          <t>1.2c</t>
        </is>
      </c>
      <c r="B20" s="10" t="inlineStr">
        <is>
          <t>Folder dagelijkse voetzorg</t>
        </is>
      </c>
      <c r="C20" s="10" t="inlineStr">
        <is>
          <t>Het document dat de patiënt mee naar huis krijgt</t>
        </is>
      </c>
      <c r="D20" s="10" t="inlineStr">
        <is>
          <t>2–4</t>
        </is>
      </c>
      <c r="E20" s="10" t="inlineStr">
        <is>
          <t>okt – dec 26</t>
        </is>
      </c>
      <c r="F20" s="10" t="inlineStr">
        <is>
          <t>D1.2</t>
        </is>
      </c>
      <c r="G20" s="10" t="inlineStr">
        <is>
          <t>PhD-A</t>
        </is>
      </c>
      <c r="H20" s="10" t="inlineStr">
        <is>
          <t>Klaar</t>
        </is>
      </c>
      <c r="I20" s="10" t="inlineStr">
        <is>
          <t>48_Voetzorgfolder bestaat</t>
        </is>
      </c>
    </row>
    <row r="21">
      <c r="A21" s="9" t="inlineStr">
        <is>
          <t>1.2d</t>
        </is>
      </c>
      <c r="B21" s="10" t="inlineStr">
        <is>
          <t>Educatiekaart schoeisel</t>
        </is>
      </c>
      <c r="C21" s="10" t="inlineStr">
        <is>
          <t>Binnen én buiten dragen, visueel schema</t>
        </is>
      </c>
      <c r="D21" s="10" t="inlineStr">
        <is>
          <t>2–4</t>
        </is>
      </c>
      <c r="E21" s="10" t="inlineStr">
        <is>
          <t>okt – dec 26</t>
        </is>
      </c>
      <c r="F21" s="10" t="inlineStr">
        <is>
          <t>D1.2</t>
        </is>
      </c>
      <c r="G21" s="10" t="inlineStr">
        <is>
          <t>PhD-A</t>
        </is>
      </c>
      <c r="H21" s="10" t="inlineStr">
        <is>
          <t>Te doen</t>
        </is>
      </c>
      <c r="I21" s="10" t="n"/>
    </row>
    <row r="22">
      <c r="A22" s="9" t="inlineStr">
        <is>
          <t>1.2e</t>
        </is>
      </c>
      <c r="B22" s="10" t="inlineStr">
        <is>
          <t>Uitlegfiche Orthotimer</t>
        </is>
      </c>
      <c r="C22" s="10" t="inlineStr">
        <is>
          <t>Framing als 'uw sensor': enkel temperatuur, geen GPS, geluid of camera</t>
        </is>
      </c>
      <c r="D22" s="10" t="inlineStr">
        <is>
          <t>2–4</t>
        </is>
      </c>
      <c r="E22" s="10" t="inlineStr">
        <is>
          <t>okt – dec 26</t>
        </is>
      </c>
      <c r="F22" s="10" t="inlineStr">
        <is>
          <t>D1.2</t>
        </is>
      </c>
      <c r="G22" s="10" t="inlineStr">
        <is>
          <t>PhD-A</t>
        </is>
      </c>
      <c r="H22" s="10" t="inlineStr">
        <is>
          <t>Klaar</t>
        </is>
      </c>
      <c r="I22" s="10" t="n"/>
    </row>
    <row r="23" ht="25.5" customHeight="1" s="14">
      <c r="A23" s="9" t="inlineStr">
        <is>
          <t>1.2f</t>
        </is>
      </c>
      <c r="B23" s="10" t="inlineStr">
        <is>
          <t>Feedbacksjabloon therapietrouw</t>
        </is>
      </c>
      <c r="C23" s="10" t="inlineStr">
        <is>
          <t>Visuele weergave van de sensordata voor stap 3 en 4</t>
        </is>
      </c>
      <c r="D23" s="10" t="inlineStr">
        <is>
          <t>2–4</t>
        </is>
      </c>
      <c r="E23" s="10" t="inlineStr">
        <is>
          <t>okt – dec 26</t>
        </is>
      </c>
      <c r="F23" s="10" t="inlineStr">
        <is>
          <t>D1.2</t>
        </is>
      </c>
      <c r="G23" s="10" t="inlineStr">
        <is>
          <t>PhD-A</t>
        </is>
      </c>
      <c r="H23" s="10" t="inlineStr">
        <is>
          <t>Te doen</t>
        </is>
      </c>
      <c r="I23" s="10" t="n"/>
    </row>
    <row r="24">
      <c r="A24" s="9" t="inlineStr">
        <is>
          <t>1.2g</t>
        </is>
      </c>
      <c r="B24" s="10" t="inlineStr">
        <is>
          <t>Leesbaarheidstest</t>
        </is>
      </c>
      <c r="C24" s="10" t="inlineStr">
        <is>
          <t>Maximaal B1-niveau, bij drie pilootpatiënten</t>
        </is>
      </c>
      <c r="D24" s="10" t="inlineStr">
        <is>
          <t>4</t>
        </is>
      </c>
      <c r="E24" s="10" t="inlineStr">
        <is>
          <t>dec 26</t>
        </is>
      </c>
      <c r="F24" s="10" t="inlineStr">
        <is>
          <t>D1.2</t>
        </is>
      </c>
      <c r="G24" s="10" t="inlineStr">
        <is>
          <t>PhD-A + Diabetes Liga</t>
        </is>
      </c>
      <c r="H24" s="10" t="inlineStr">
        <is>
          <t>Te doen</t>
        </is>
      </c>
      <c r="I24" s="10" t="n"/>
    </row>
    <row r="25" ht="25.5" customHeight="1" s="14">
      <c r="A25" s="9" t="inlineStr">
        <is>
          <t>1.2h</t>
        </is>
      </c>
      <c r="B25" s="10" t="inlineStr">
        <is>
          <t>Consensusvergadering</t>
        </is>
      </c>
      <c r="C25" s="10" t="inlineStr">
        <is>
          <t>Pre-read twee weken vooraf, per instrument een kwartier, ondertekende notulen</t>
        </is>
      </c>
      <c r="D25" s="10" t="inlineStr">
        <is>
          <t>4</t>
        </is>
      </c>
      <c r="E25" s="10" t="inlineStr">
        <is>
          <t>dec 26</t>
        </is>
      </c>
      <c r="F25" s="10" t="inlineStr">
        <is>
          <t>D1.2</t>
        </is>
      </c>
      <c r="G25" s="10" t="inlineStr">
        <is>
          <t>Deschamps + partners</t>
        </is>
      </c>
      <c r="H25" s="10" t="inlineStr">
        <is>
          <t>Te doen</t>
        </is>
      </c>
      <c r="I25" s="10" t="inlineStr">
        <is>
          <t>Levert MS1</t>
        </is>
      </c>
    </row>
    <row r="26">
      <c r="A26" s="16" t="inlineStr">
        <is>
          <t>Taak 1.3 — Protocollen voor Usual en Optimal Care · M1–5 · D1.3</t>
        </is>
      </c>
      <c r="B26" s="20" t="n"/>
      <c r="C26" s="20" t="n"/>
      <c r="D26" s="20" t="n"/>
      <c r="E26" s="20" t="n"/>
      <c r="F26" s="20" t="n"/>
      <c r="G26" s="20" t="n"/>
      <c r="H26" s="20" t="n"/>
      <c r="I26" s="21" t="n"/>
    </row>
    <row r="27" ht="25.5" customHeight="1" s="14">
      <c r="A27" s="9" t="inlineStr">
        <is>
          <t>SOP-1</t>
        </is>
      </c>
      <c r="B27" s="10" t="inlineStr">
        <is>
          <t>Voetscreening en IWGDF-classificatie</t>
        </is>
      </c>
      <c r="C27" s="10" t="inlineStr">
        <is>
          <t>Onderzoeksvolgorde, afkappunten, fotografieprotocol, beslisboom, inter-rater reliability κ ≥ 0,80</t>
        </is>
      </c>
      <c r="D27" s="10" t="inlineStr">
        <is>
          <t>2</t>
        </is>
      </c>
      <c r="E27" s="10" t="inlineStr">
        <is>
          <t>okt 26</t>
        </is>
      </c>
      <c r="F27" s="10" t="inlineStr">
        <is>
          <t>D1.3</t>
        </is>
      </c>
      <c r="G27" s="10" t="inlineStr">
        <is>
          <t>PhD-A + podoloog + KU Leuven</t>
        </is>
      </c>
      <c r="H27" s="10" t="inlineStr">
        <is>
          <t>Te doen</t>
        </is>
      </c>
      <c r="I27" s="10" t="n"/>
    </row>
    <row r="28" ht="38.25" customHeight="1" s="14">
      <c r="A28" s="9" t="inlineStr">
        <is>
          <t>SOP-2</t>
        </is>
      </c>
      <c r="B28" s="10" t="inlineStr">
        <is>
          <t>Plantaire drukmeting</t>
        </is>
      </c>
      <c r="C28" s="10" t="inlineStr">
        <is>
          <t>Pedar als klinisch toestel met trublu-kalibratie; F-Scan GO alleen studieteam; acht regio's; alles in-shoe, zónder én mét de zool gemeten; norm &lt; 200 kPa mét de zool óf ≥ 25% lager dan zonder, in dezelfde sessie; behaalde reductie als fidelity-maat</t>
        </is>
      </c>
      <c r="D28" s="10" t="inlineStr">
        <is>
          <t>2–3</t>
        </is>
      </c>
      <c r="E28" s="10" t="inlineStr">
        <is>
          <t>okt – nov 26</t>
        </is>
      </c>
      <c r="F28" s="10" t="inlineStr">
        <is>
          <t>D1.3</t>
        </is>
      </c>
      <c r="G28" s="10" t="inlineStr">
        <is>
          <t>PhD-A + technoloog</t>
        </is>
      </c>
      <c r="H28" s="10" t="inlineStr">
        <is>
          <t>Te doen</t>
        </is>
      </c>
      <c r="I28" s="10" t="inlineStr">
        <is>
          <t>Werkinstructie pedar ontbreekt — punt 16</t>
        </is>
      </c>
    </row>
    <row r="29" ht="25.5" customHeight="1" s="14">
      <c r="A29" s="9" t="inlineStr">
        <is>
          <t>SOP-3</t>
        </is>
      </c>
      <c r="B29" s="10" t="inlineStr">
        <is>
          <t>Schoeisel, CMFO en Orthotimer</t>
        </is>
      </c>
      <c r="C29" s="10" t="inlineStr">
        <is>
          <t>Opbouw per schoentype, mediale steun 3-5 mm, metatarsaalbalk 9-10 mm, deklaag, pasvorm binnen én buiten met fotodocumentatie</t>
        </is>
      </c>
      <c r="D29" s="10" t="inlineStr">
        <is>
          <t>2–3</t>
        </is>
      </c>
      <c r="E29" s="10" t="inlineStr">
        <is>
          <t>okt – nov 26</t>
        </is>
      </c>
      <c r="F29" s="10" t="inlineStr">
        <is>
          <t>D1.3</t>
        </is>
      </c>
      <c r="G29" s="10" t="inlineStr">
        <is>
          <t>Pedorthist + PhD-A</t>
        </is>
      </c>
      <c r="H29" s="10" t="inlineStr">
        <is>
          <t>Klaar</t>
        </is>
      </c>
      <c r="I29" s="10" t="n"/>
    </row>
    <row r="30" ht="25.5" customHeight="1" s="14">
      <c r="A30" s="9" t="inlineStr">
        <is>
          <t>SOP-4</t>
        </is>
      </c>
      <c r="B30" s="10" t="inlineStr">
        <is>
          <t>Uitlezen en therapietrouwnorm</t>
        </is>
      </c>
      <c r="C30" s="10" t="inlineStr">
        <is>
          <t>Waaktijd als noemer, 80% als responderdrempel, tussenresultaat tonen in uren</t>
        </is>
      </c>
      <c r="D30" s="10" t="inlineStr">
        <is>
          <t>3</t>
        </is>
      </c>
      <c r="E30" s="10" t="inlineStr">
        <is>
          <t>nov 26</t>
        </is>
      </c>
      <c r="F30" s="10" t="inlineStr">
        <is>
          <t>D1.3</t>
        </is>
      </c>
      <c r="G30" s="10" t="inlineStr">
        <is>
          <t>PhD-A + statisticus</t>
        </is>
      </c>
      <c r="H30" s="10" t="inlineStr">
        <is>
          <t>Te doen</t>
        </is>
      </c>
      <c r="I30" s="10" t="n"/>
    </row>
    <row r="31" ht="25.5" customHeight="1" s="14">
      <c r="A31" s="9" t="inlineStr">
        <is>
          <t>SOP-5</t>
        </is>
      </c>
      <c r="B31" s="10" t="inlineStr">
        <is>
          <t>SEBIA — vijf stappen</t>
        </is>
      </c>
      <c r="C31" s="10" t="inlineStr">
        <is>
          <t>Stap 1 baseline, 2 op visite 2, 3 op maand 6 en 12, 4 op maand 9 en 15, 5 op maand 18</t>
        </is>
      </c>
      <c r="D31" s="10" t="inlineStr">
        <is>
          <t>2–4</t>
        </is>
      </c>
      <c r="E31" s="10" t="inlineStr">
        <is>
          <t>okt – dec 26</t>
        </is>
      </c>
      <c r="F31" s="10" t="inlineStr">
        <is>
          <t>D1.3</t>
        </is>
      </c>
      <c r="G31" s="10" t="inlineStr">
        <is>
          <t>PhD-A + Dobbels</t>
        </is>
      </c>
      <c r="H31" s="10" t="inlineStr">
        <is>
          <t>Te doen</t>
        </is>
      </c>
      <c r="I31" s="10" t="n"/>
    </row>
    <row r="32">
      <c r="A32" s="9" t="inlineStr">
        <is>
          <t>SOP-6</t>
        </is>
      </c>
      <c r="B32" s="10" t="inlineStr">
        <is>
          <t>Ulcusdetectie en documentatie</t>
        </is>
      </c>
      <c r="C32" s="10" t="inlineStr">
        <is>
          <t>Zie taak 1.4</t>
        </is>
      </c>
      <c r="D32" s="10" t="inlineStr">
        <is>
          <t>2</t>
        </is>
      </c>
      <c r="E32" s="10" t="inlineStr">
        <is>
          <t>okt 26</t>
        </is>
      </c>
      <c r="F32" s="10" t="inlineStr">
        <is>
          <t>D1.4</t>
        </is>
      </c>
      <c r="G32" s="10" t="inlineStr">
        <is>
          <t>PhD-A + arts</t>
        </is>
      </c>
      <c r="H32" s="10" t="inlineStr">
        <is>
          <t>Te doen</t>
        </is>
      </c>
      <c r="I32" s="10" t="n"/>
    </row>
    <row r="33" ht="25.5" customHeight="1" s="14">
      <c r="A33" s="9" t="inlineStr">
        <is>
          <t>SOP-7</t>
        </is>
      </c>
      <c r="B33" s="10" t="inlineStr">
        <is>
          <t>Randomisatie en blindering</t>
        </is>
      </c>
      <c r="C33" s="10" t="inlineStr">
        <is>
          <t>Identieke enveloppen, door elkaar gestoken; openen pas na geschiktheid, toestemming en baselinemetingen; documenteren met datum, uur en code</t>
        </is>
      </c>
      <c r="D33" s="10" t="inlineStr">
        <is>
          <t>3</t>
        </is>
      </c>
      <c r="E33" s="10" t="inlineStr">
        <is>
          <t>nov 26</t>
        </is>
      </c>
      <c r="F33" s="10" t="inlineStr">
        <is>
          <t>D1.3</t>
        </is>
      </c>
      <c r="G33" s="10" t="inlineStr">
        <is>
          <t>PhD-A+ Deschamps</t>
        </is>
      </c>
      <c r="H33" s="10" t="inlineStr">
        <is>
          <t>Te doen</t>
        </is>
      </c>
      <c r="I33" s="10" t="inlineStr">
        <is>
          <t>Methode nog nergens beschreven — punt 2</t>
        </is>
      </c>
    </row>
    <row r="34" ht="25.5" customHeight="1" s="14">
      <c r="A34" s="9" t="inlineStr">
        <is>
          <t>SOP-8</t>
        </is>
      </c>
      <c r="B34" s="10" t="inlineStr">
        <is>
          <t>Databeheer en monitoring</t>
        </is>
      </c>
      <c r="C34" s="10" t="inlineStr">
        <is>
          <t>Rollen, wekelijks querymanagement, afwijkingenlog, dagelijkse back-up, risicogebaseerd monitoringplan</t>
        </is>
      </c>
      <c r="D34" s="10" t="inlineStr">
        <is>
          <t>3–4</t>
        </is>
      </c>
      <c r="E34" s="10" t="inlineStr">
        <is>
          <t>nov – dec 26</t>
        </is>
      </c>
      <c r="F34" s="10" t="inlineStr">
        <is>
          <t>D1.3</t>
        </is>
      </c>
      <c r="G34" s="10" t="inlineStr">
        <is>
          <t>PhD-A + Deschamps</t>
        </is>
      </c>
      <c r="H34" s="10" t="inlineStr">
        <is>
          <t>Te doen</t>
        </is>
      </c>
      <c r="I34" s="10" t="n"/>
    </row>
    <row r="35">
      <c r="A35" s="16" t="inlineStr">
        <is>
          <t>Taak 1.4 — Ulcusprotocol · M1–5 · D1.4 · draagt het primaire eindpunt</t>
        </is>
      </c>
      <c r="B35" s="20" t="n"/>
      <c r="C35" s="20" t="n"/>
      <c r="D35" s="20" t="n"/>
      <c r="E35" s="20" t="n"/>
      <c r="F35" s="20" t="n"/>
      <c r="G35" s="20" t="n"/>
      <c r="H35" s="20" t="n"/>
      <c r="I35" s="21" t="n"/>
    </row>
    <row r="36" ht="25.5" customHeight="1" s="14">
      <c r="A36" s="9" t="inlineStr">
        <is>
          <t>1.4a</t>
        </is>
      </c>
      <c r="B36" s="10" t="inlineStr">
        <is>
          <t>Definitie en afbakening</t>
        </is>
      </c>
      <c r="C36" s="10" t="inlineStr">
        <is>
          <t>IWGDF-definitie; wrijvingsletsels aan laterale of dorsale voet binnen drie weken na nieuw schoeisel tellen niet mee</t>
        </is>
      </c>
      <c r="D36" s="10" t="inlineStr">
        <is>
          <t>1–2</t>
        </is>
      </c>
      <c r="E36" s="10" t="inlineStr">
        <is>
          <t>sep – okt 26</t>
        </is>
      </c>
      <c r="F36" s="10" t="inlineStr">
        <is>
          <t>D1.4</t>
        </is>
      </c>
      <c r="G36" s="10" t="inlineStr">
        <is>
          <t>PhD-A + arts+ Deschamps</t>
        </is>
      </c>
      <c r="H36" s="10" t="inlineStr">
        <is>
          <t>Te doen</t>
        </is>
      </c>
      <c r="I36" s="10" t="n"/>
    </row>
    <row r="37" ht="25.5" customHeight="1" s="14">
      <c r="A37" s="9" t="inlineStr">
        <is>
          <t>1.4b</t>
        </is>
      </c>
      <c r="B37" s="10" t="inlineStr">
        <is>
          <t>Meldings- en documentatieroute</t>
        </is>
      </c>
      <c r="C37" s="10" t="inlineStr">
        <is>
          <t>Onmiddellijk aan de investigator; foto's, debridement, PEDIS en WIfI; geanonimiseerd naar een beveiligd platform</t>
        </is>
      </c>
      <c r="D37" s="10" t="inlineStr">
        <is>
          <t>2</t>
        </is>
      </c>
      <c r="E37" s="10" t="inlineStr">
        <is>
          <t>okt 26</t>
        </is>
      </c>
      <c r="F37" s="10" t="inlineStr">
        <is>
          <t>D1.4</t>
        </is>
      </c>
      <c r="G37" s="10" t="inlineStr">
        <is>
          <t>PhD-A</t>
        </is>
      </c>
      <c r="H37" s="10" t="inlineStr">
        <is>
          <t>Te doen</t>
        </is>
      </c>
      <c r="I37" s="10" t="inlineStr">
        <is>
          <t>ManGO</t>
        </is>
      </c>
    </row>
    <row r="38" ht="25.5" customHeight="1" s="14">
      <c r="A38" s="9" t="inlineStr">
        <is>
          <t>1.4c</t>
        </is>
      </c>
      <c r="B38" s="10" t="inlineStr">
        <is>
          <t>Fotoplatform regelen</t>
        </is>
      </c>
      <c r="C38" s="10" t="inlineStr">
        <is>
          <t>Keuze, gegevensbeschermingsbeoordeling, één aangeduide arts per centrum, één testcasus doorlopen</t>
        </is>
      </c>
      <c r="D38" s="10" t="inlineStr">
        <is>
          <t>2</t>
        </is>
      </c>
      <c r="E38" s="10" t="inlineStr">
        <is>
          <t>okt 26</t>
        </is>
      </c>
      <c r="F38" s="10" t="inlineStr">
        <is>
          <t>D1.4</t>
        </is>
      </c>
      <c r="G38" s="10" t="inlineStr">
        <is>
          <t>PhD-A + DPO</t>
        </is>
      </c>
      <c r="H38" s="10" t="inlineStr">
        <is>
          <t>Te doen</t>
        </is>
      </c>
      <c r="I38" s="10" t="inlineStr">
        <is>
          <t>Langste doorlooptijd buiten eigen controle</t>
        </is>
      </c>
    </row>
    <row r="39" ht="25.5" customHeight="1" s="14">
      <c r="A39" s="9" t="inlineStr">
        <is>
          <t>1.4d</t>
        </is>
      </c>
      <c r="B39" s="10" t="inlineStr">
        <is>
          <t>Beslissen wie het ulcus vaststelt</t>
        </is>
      </c>
      <c r="C39" s="10" t="inlineStr">
        <is>
          <t>Onafhankelijke geblindeerde commissie, of het multidisciplinaire team dat nu in het manuscript staat</t>
        </is>
      </c>
      <c r="D39" s="10" t="inlineStr">
        <is>
          <t>1</t>
        </is>
      </c>
      <c r="E39" s="10" t="inlineStr">
        <is>
          <t>sep 26</t>
        </is>
      </c>
      <c r="F39" s="10" t="inlineStr">
        <is>
          <t>D1.4</t>
        </is>
      </c>
      <c r="G39" s="10" t="inlineStr">
        <is>
          <t>Deschamps + PhD-A</t>
        </is>
      </c>
      <c r="H39" s="10" t="inlineStr">
        <is>
          <t>Te doen</t>
        </is>
      </c>
      <c r="I39" s="10" t="inlineStr">
        <is>
          <t>Openstaand punt 1 — eerst doen</t>
        </is>
      </c>
    </row>
    <row r="40" ht="25.5" customHeight="1" s="14">
      <c r="A40" s="9" t="inlineStr">
        <is>
          <t>1.4e</t>
        </is>
      </c>
      <c r="B40" s="10" t="inlineStr">
        <is>
          <t>AE- en SAE-procedure</t>
        </is>
      </c>
      <c r="C40" s="10" t="inlineStr">
        <is>
          <t>Registratie bij elke visite; sponsor binnen 72 u, EC en FAGG binnen 7 of 15 dagen</t>
        </is>
      </c>
      <c r="D40" s="10" t="inlineStr">
        <is>
          <t>2</t>
        </is>
      </c>
      <c r="E40" s="10" t="inlineStr">
        <is>
          <t>okt 26</t>
        </is>
      </c>
      <c r="F40" s="10" t="inlineStr">
        <is>
          <t>D1.4</t>
        </is>
      </c>
      <c r="G40" s="10" t="inlineStr">
        <is>
          <t>PhD-A</t>
        </is>
      </c>
      <c r="H40" s="10" t="inlineStr">
        <is>
          <t>Klaar</t>
        </is>
      </c>
      <c r="I40" s="10" t="n"/>
    </row>
    <row r="41">
      <c r="A41" s="16" t="inlineStr">
        <is>
          <t>Parallel — drie sporen zonder taaknummer, wel in de Go-criteria</t>
        </is>
      </c>
      <c r="B41" s="20" t="n"/>
      <c r="C41" s="20" t="n"/>
      <c r="D41" s="20" t="n"/>
      <c r="E41" s="20" t="n"/>
      <c r="F41" s="20" t="n"/>
      <c r="G41" s="20" t="n"/>
      <c r="H41" s="20" t="n"/>
      <c r="I41" s="21" t="n"/>
    </row>
    <row r="42" ht="25.5" customHeight="1" s="14">
      <c r="A42" s="9" t="inlineStr">
        <is>
          <t>P-A1</t>
        </is>
      </c>
      <c r="B42" s="10" t="inlineStr">
        <is>
          <t>Drukmeetsystemen</t>
        </is>
      </c>
      <c r="C42" s="10" t="inlineStr">
        <is>
          <t>Bestellen (levertijd zes tot acht weken), installeren, servicecontract, reserveonderdelen en kalibratiemateriaal</t>
        </is>
      </c>
      <c r="D42" s="10" t="inlineStr">
        <is>
          <t>1–2</t>
        </is>
      </c>
      <c r="E42" s="10" t="inlineStr">
        <is>
          <t>sep – okt 26</t>
        </is>
      </c>
      <c r="F42" s="10" t="inlineStr">
        <is>
          <t>—</t>
        </is>
      </c>
      <c r="G42" s="10" t="inlineStr">
        <is>
          <t>KU Leuven admin</t>
        </is>
      </c>
      <c r="H42" s="10" t="inlineStr">
        <is>
          <t>Te doen</t>
        </is>
      </c>
      <c r="I42" s="10" t="inlineStr">
        <is>
          <t>mail is uitgestuurd, installatie is volgende stap</t>
        </is>
      </c>
    </row>
    <row r="43" ht="25.5" customHeight="1" s="14">
      <c r="A43" s="9" t="inlineStr">
        <is>
          <t>P-A2</t>
        </is>
      </c>
      <c r="B43" s="10" t="inlineStr">
        <is>
          <t>Inter-rater reliability</t>
        </is>
      </c>
      <c r="C43" s="10" t="inlineStr">
        <is>
          <t>Twee operatoren, minstens vijftien personen per centrum, doel ICC ≥ 0,80, ook op vervormde voeten</t>
        </is>
      </c>
      <c r="D43" s="10" t="inlineStr">
        <is>
          <t>2–4</t>
        </is>
      </c>
      <c r="E43" s="10" t="inlineStr">
        <is>
          <t>okt – dec 26</t>
        </is>
      </c>
      <c r="F43" s="10" t="inlineStr">
        <is>
          <t>—</t>
        </is>
      </c>
      <c r="G43" s="10" t="inlineStr">
        <is>
          <t>PhD-A</t>
        </is>
      </c>
      <c r="H43" s="10" t="inlineStr">
        <is>
          <t>Te doen</t>
        </is>
      </c>
      <c r="I43" s="10" t="inlineStr">
        <is>
          <t>Op welk toestel? — punt 22</t>
        </is>
      </c>
    </row>
    <row r="44" ht="25.5" customHeight="1" s="14">
      <c r="A44" s="9" t="inlineStr">
        <is>
          <t>P-A3</t>
        </is>
      </c>
      <c r="B44" s="10" t="inlineStr">
        <is>
          <t>Orthotimer en MoveMonitor</t>
        </is>
      </c>
      <c r="C44" s="10" t="inlineStr">
        <is>
          <t>Sensoren, uitleessoftware, serienummerregister, uitgifte- en retourformulier, instructiekaart</t>
        </is>
      </c>
      <c r="D44" s="10" t="inlineStr">
        <is>
          <t>2–3</t>
        </is>
      </c>
      <c r="E44" s="10" t="inlineStr">
        <is>
          <t>okt – nov 26</t>
        </is>
      </c>
      <c r="F44" s="10" t="inlineStr">
        <is>
          <t>—</t>
        </is>
      </c>
      <c r="G44" s="10" t="inlineStr">
        <is>
          <t>PhD-A</t>
        </is>
      </c>
      <c r="H44" s="10" t="inlineStr">
        <is>
          <t>Te doen</t>
        </is>
      </c>
      <c r="I44" s="10" t="inlineStr">
        <is>
          <t>Aantal hangt af van punt 9</t>
        </is>
      </c>
    </row>
    <row r="45" ht="25.5" customHeight="1" s="14">
      <c r="A45" s="9" t="inlineStr">
        <is>
          <t>P-A4</t>
        </is>
      </c>
      <c r="B45" s="10" t="inlineStr">
        <is>
          <t>Databank bouwen REDCAP</t>
        </is>
      </c>
      <c r="C45" s="10" t="inlineStr">
        <is>
          <t>Screening, baseline, zes opvolgtijdstippen, eventformulieren, randomisatie, afwijkingenlog, procesevaluatie</t>
        </is>
      </c>
      <c r="D45" s="10" t="inlineStr">
        <is>
          <t>1–5</t>
        </is>
      </c>
      <c r="E45" s="10" t="inlineStr">
        <is>
          <t>sep 26 – jan 27</t>
        </is>
      </c>
      <c r="F45" s="10" t="inlineStr">
        <is>
          <t>—</t>
        </is>
      </c>
      <c r="G45" s="10" t="inlineStr">
        <is>
          <t>PhD-A + Deschamps</t>
        </is>
      </c>
      <c r="H45" s="10" t="inlineStr">
        <is>
          <t>Te doen</t>
        </is>
      </c>
      <c r="I45" s="10" t="n"/>
    </row>
    <row r="46" ht="25.5" customHeight="1" s="14">
      <c r="A46" s="9" t="inlineStr">
        <is>
          <t>P-A5</t>
        </is>
      </c>
      <c r="B46" s="10" t="inlineStr">
        <is>
          <t>Acceptatietest en versie-lock</t>
        </is>
      </c>
      <c r="C46" s="10" t="inlineStr">
        <is>
          <t>Eén testgebruiker per centrum de volledige flow laten doorlopen; nul kritische bugs</t>
        </is>
      </c>
      <c r="D46" s="10" t="inlineStr">
        <is>
          <t>4–5</t>
        </is>
      </c>
      <c r="E46" s="10" t="inlineStr">
        <is>
          <t>dec 26 – jan 27</t>
        </is>
      </c>
      <c r="F46" s="10" t="inlineStr">
        <is>
          <t>—</t>
        </is>
      </c>
      <c r="G46" s="10" t="inlineStr">
        <is>
          <t>PhD-A</t>
        </is>
      </c>
      <c r="H46" s="10" t="inlineStr">
        <is>
          <t>Te doen</t>
        </is>
      </c>
      <c r="I46" s="10" t="inlineStr">
        <is>
          <t>Go-criterium 3</t>
        </is>
      </c>
    </row>
    <row r="47">
      <c r="A47" s="9" t="inlineStr">
        <is>
          <t>P-B1</t>
        </is>
      </c>
      <c r="B47" s="10" t="inlineStr">
        <is>
          <t>Module 1 — theoretisch kader</t>
        </is>
      </c>
      <c r="C47" s="10" t="inlineStr">
        <is>
          <t>Vier uur, centraal, met kennistoets</t>
        </is>
      </c>
      <c r="D47" s="10" t="inlineStr">
        <is>
          <t>2–3</t>
        </is>
      </c>
      <c r="E47" s="10" t="inlineStr">
        <is>
          <t>okt – nov 26</t>
        </is>
      </c>
      <c r="F47" s="10" t="inlineStr">
        <is>
          <t>—</t>
        </is>
      </c>
      <c r="G47" s="10" t="inlineStr">
        <is>
          <t>Deschamps + PhD-A</t>
        </is>
      </c>
      <c r="H47" s="10" t="inlineStr">
        <is>
          <t>Te doen</t>
        </is>
      </c>
      <c r="I47" s="10" t="n"/>
    </row>
    <row r="48">
      <c r="A48" s="9" t="inlineStr">
        <is>
          <t>P-B2</t>
        </is>
      </c>
      <c r="B48" s="10" t="inlineStr">
        <is>
          <t>Module 2 — SEBIA hands-on</t>
        </is>
      </c>
      <c r="C48" s="10" t="inlineStr">
        <is>
          <t>Vier uur, drie casussen, rollenspel per stap, motiverende gespreksvoering</t>
        </is>
      </c>
      <c r="D48" s="10" t="inlineStr">
        <is>
          <t>3–4</t>
        </is>
      </c>
      <c r="E48" s="10" t="inlineStr">
        <is>
          <t>nov – dec 26</t>
        </is>
      </c>
      <c r="F48" s="10" t="inlineStr">
        <is>
          <t>—</t>
        </is>
      </c>
      <c r="G48" s="10" t="inlineStr">
        <is>
          <t>PhD-A + Dobbels</t>
        </is>
      </c>
      <c r="H48" s="10" t="inlineStr">
        <is>
          <t>Te doen</t>
        </is>
      </c>
      <c r="I48" s="10" t="n"/>
    </row>
    <row r="49" ht="25.5" customHeight="1" s="14">
      <c r="A49" s="9" t="inlineStr">
        <is>
          <t>P-B3</t>
        </is>
      </c>
      <c r="B49" s="10" t="inlineStr">
        <is>
          <t>Module 3 — technologie on-site</t>
        </is>
      </c>
      <c r="C49" s="10" t="inlineStr">
        <is>
          <t>Twee uur per centrum: kalibratie, regio-indeling, sensoren, troubleshooting</t>
        </is>
      </c>
      <c r="D49" s="10" t="inlineStr">
        <is>
          <t>3–4</t>
        </is>
      </c>
      <c r="E49" s="10" t="inlineStr">
        <is>
          <t>nov – dec 26</t>
        </is>
      </c>
      <c r="F49" s="10" t="inlineStr">
        <is>
          <t>—</t>
        </is>
      </c>
      <c r="G49" s="10" t="inlineStr">
        <is>
          <t>PhD-A</t>
        </is>
      </c>
      <c r="H49" s="10" t="inlineStr">
        <is>
          <t>Te doen</t>
        </is>
      </c>
      <c r="I49" s="10" t="n"/>
    </row>
    <row r="50" ht="25.5" customHeight="1" s="14">
      <c r="A50" s="9" t="inlineStr">
        <is>
          <t>P-B4</t>
        </is>
      </c>
      <c r="B50" s="10" t="inlineStr">
        <is>
          <t>Module 4 — certificering</t>
        </is>
      </c>
      <c r="C50" s="10" t="inlineStr">
        <is>
          <t>Vier uur met gesimuleerde patiëntcontacten; kennistoets ≥ 80% en alle domeinen ≥ 3 op 4</t>
        </is>
      </c>
      <c r="D50" s="10" t="inlineStr">
        <is>
          <t>4–5</t>
        </is>
      </c>
      <c r="E50" s="10" t="inlineStr">
        <is>
          <t>dec 26 – jan 27</t>
        </is>
      </c>
      <c r="F50" s="10" t="inlineStr">
        <is>
          <t>—</t>
        </is>
      </c>
      <c r="G50" s="10" t="inlineStr">
        <is>
          <t>Dobbels + PhD-A</t>
        </is>
      </c>
      <c r="H50" s="10" t="inlineStr">
        <is>
          <t>Te doen</t>
        </is>
      </c>
      <c r="I50" s="10" t="inlineStr">
        <is>
          <t>Go-criterium 4</t>
        </is>
      </c>
    </row>
    <row r="51">
      <c r="A51" s="9" t="inlineStr">
        <is>
          <t>P-B5</t>
        </is>
      </c>
      <c r="B51" s="10" t="inlineStr">
        <is>
          <t>Module 5 — data-entry</t>
        </is>
      </c>
      <c r="C51" s="10" t="inlineStr">
        <is>
          <t>Twee uur per centrum; omvang hangt af van de formulierenroute</t>
        </is>
      </c>
      <c r="D51" s="10" t="inlineStr">
        <is>
          <t>4–5</t>
        </is>
      </c>
      <c r="E51" s="10" t="inlineStr">
        <is>
          <t>dec 26 – jan 27</t>
        </is>
      </c>
      <c r="F51" s="10" t="inlineStr">
        <is>
          <t>—</t>
        </is>
      </c>
      <c r="G51" s="10" t="inlineStr">
        <is>
          <t xml:space="preserve">PhD-A </t>
        </is>
      </c>
      <c r="H51" s="10" t="inlineStr">
        <is>
          <t>Te doen</t>
        </is>
      </c>
      <c r="I51" s="10" t="inlineStr">
        <is>
          <t>Openstaand punt 20</t>
        </is>
      </c>
    </row>
    <row r="52" ht="25.5" customHeight="1" s="14">
      <c r="A52" s="9" t="inlineStr">
        <is>
          <t>P-C1</t>
        </is>
      </c>
      <c r="B52" s="10" t="inlineStr">
        <is>
          <t>Methodevergelijking pedar – F-Scan GO</t>
        </is>
      </c>
      <c r="C52" s="10" t="inlineStr">
        <is>
          <t>Parallel aan de trial, door het studieteam; Bland-Altman, ICC per regio, Passing-Bablok, ROC, kappa</t>
        </is>
      </c>
      <c r="D52" s="10" t="inlineStr">
        <is>
          <t>2 en verder</t>
        </is>
      </c>
      <c r="E52" s="10" t="inlineStr">
        <is>
          <t>okt 26 →</t>
        </is>
      </c>
      <c r="F52" s="10" t="inlineStr">
        <is>
          <t>—</t>
        </is>
      </c>
      <c r="G52" s="10" t="inlineStr">
        <is>
          <t>PhD-A</t>
        </is>
      </c>
      <c r="H52" s="10" t="inlineStr">
        <is>
          <t>Te doen</t>
        </is>
      </c>
      <c r="I52" s="10" t="inlineStr">
        <is>
          <t>Geen startvoorwaarde — punt 22</t>
        </is>
      </c>
    </row>
    <row r="53">
      <c r="A53" s="16" t="inlineStr">
        <is>
          <t>Taak 1.5 — Piloot en Go/No-Go · M5–6 · D1.5 · MS3</t>
        </is>
      </c>
      <c r="B53" s="20" t="n"/>
      <c r="C53" s="20" t="n"/>
      <c r="D53" s="20" t="n"/>
      <c r="E53" s="20" t="n"/>
      <c r="F53" s="20" t="n"/>
      <c r="G53" s="20" t="n"/>
      <c r="H53" s="20" t="n"/>
      <c r="I53" s="21" t="n"/>
    </row>
    <row r="54" ht="25.5" customHeight="1" s="14">
      <c r="A54" s="9" t="inlineStr">
        <is>
          <t>1.5a</t>
        </is>
      </c>
      <c r="B54" s="10" t="inlineStr">
        <is>
          <t>Pilootpatiënten selecteren</t>
        </is>
      </c>
      <c r="C54" s="10" t="inlineStr">
        <is>
          <t>Eén per centrum, risicocategorie 3, geen studiepatiënt, met aparte toestemming</t>
        </is>
      </c>
      <c r="D54" s="10" t="inlineStr">
        <is>
          <t>4–5</t>
        </is>
      </c>
      <c r="E54" s="10" t="inlineStr">
        <is>
          <t>dec 26 – jan 27</t>
        </is>
      </c>
      <c r="F54" s="10" t="inlineStr">
        <is>
          <t>D1.5</t>
        </is>
      </c>
      <c r="G54" s="10" t="inlineStr">
        <is>
          <t>Lokale PI</t>
        </is>
      </c>
      <c r="H54" s="10" t="inlineStr">
        <is>
          <t>Te doen</t>
        </is>
      </c>
      <c r="I54" s="10" t="n"/>
    </row>
    <row r="55" ht="25.5" customHeight="1" s="14">
      <c r="A55" s="9" t="inlineStr">
        <is>
          <t>1.5b</t>
        </is>
      </c>
      <c r="B55" s="10" t="inlineStr">
        <is>
          <t>Pilootconsent laten goedkeuren</t>
        </is>
      </c>
      <c r="C55" s="10" t="inlineStr">
        <is>
          <t>Beschrijft de piloot als testrun, niet als klinische studie</t>
        </is>
      </c>
      <c r="D55" s="10" t="inlineStr">
        <is>
          <t>4</t>
        </is>
      </c>
      <c r="E55" s="10" t="inlineStr">
        <is>
          <t>dec 26</t>
        </is>
      </c>
      <c r="F55" s="10" t="inlineStr">
        <is>
          <t>D1.5</t>
        </is>
      </c>
      <c r="G55" s="10" t="inlineStr">
        <is>
          <t>PhD-A</t>
        </is>
      </c>
      <c r="H55" s="10" t="inlineStr">
        <is>
          <t>Te doen</t>
        </is>
      </c>
      <c r="I55" s="10" t="n"/>
    </row>
    <row r="56" ht="25.5" customHeight="1" s="14">
      <c r="A56" s="9" t="inlineStr">
        <is>
          <t>1.5c</t>
        </is>
      </c>
      <c r="B56" s="10" t="inlineStr">
        <is>
          <t>Pilootbezoek uitvoeren</t>
        </is>
      </c>
      <c r="C56" s="10" t="inlineStr">
        <is>
          <t>Volledige keten met tijdregistratie per onderdeel; doel onder negentig minuten productief</t>
        </is>
      </c>
      <c r="D56" s="10" t="inlineStr">
        <is>
          <t>5–6</t>
        </is>
      </c>
      <c r="E56" s="10" t="inlineStr">
        <is>
          <t>jan – feb 27</t>
        </is>
      </c>
      <c r="F56" s="10" t="inlineStr">
        <is>
          <t>D1.5</t>
        </is>
      </c>
      <c r="G56" s="10" t="inlineStr">
        <is>
          <t>Podoloog + technoloog</t>
        </is>
      </c>
      <c r="H56" s="10" t="inlineStr">
        <is>
          <t>Te doen</t>
        </is>
      </c>
      <c r="I56" s="10" t="inlineStr">
        <is>
          <t>PhD-A observeert in elk centrum</t>
        </is>
      </c>
    </row>
    <row r="57" ht="25.5" customHeight="1" s="14">
      <c r="A57" s="9" t="inlineStr">
        <is>
          <t>1.5d</t>
        </is>
      </c>
      <c r="B57" s="10" t="inlineStr">
        <is>
          <t>Debriefing per centrum</t>
        </is>
      </c>
      <c r="C57" s="10" t="inlineStr">
        <is>
          <t>Dertig minuten binnen de week; elk knelpunt als kritisch of optimaliseerbaar</t>
        </is>
      </c>
      <c r="D57" s="10" t="inlineStr">
        <is>
          <t>6</t>
        </is>
      </c>
      <c r="E57" s="10" t="inlineStr">
        <is>
          <t>feb 27</t>
        </is>
      </c>
      <c r="F57" s="10" t="inlineStr">
        <is>
          <t>D1.5</t>
        </is>
      </c>
      <c r="G57" s="10" t="inlineStr">
        <is>
          <t>PhD-A</t>
        </is>
      </c>
      <c r="H57" s="10" t="inlineStr">
        <is>
          <t>Te doen</t>
        </is>
      </c>
      <c r="I57" s="10" t="n"/>
    </row>
    <row r="58">
      <c r="A58" s="9" t="inlineStr">
        <is>
          <t>1.5e</t>
        </is>
      </c>
      <c r="B58" s="10" t="inlineStr">
        <is>
          <t>Pilootrapport en updates</t>
        </is>
      </c>
      <c r="C58" s="10" t="inlineStr">
        <is>
          <t>Knelpuntenmatrix, SOP's naar v1.1, databank naar v1.1</t>
        </is>
      </c>
      <c r="D58" s="10" t="inlineStr">
        <is>
          <t>6</t>
        </is>
      </c>
      <c r="E58" s="10" t="inlineStr">
        <is>
          <t>feb 27</t>
        </is>
      </c>
      <c r="F58" s="10" t="inlineStr">
        <is>
          <t>D1.5</t>
        </is>
      </c>
      <c r="G58" s="10" t="inlineStr">
        <is>
          <t>PhD-A</t>
        </is>
      </c>
      <c r="H58" s="10" t="inlineStr">
        <is>
          <t>Te doen</t>
        </is>
      </c>
      <c r="I58" s="10" t="n"/>
    </row>
    <row r="59">
      <c r="A59" s="9" t="inlineStr">
        <is>
          <t>1.5f</t>
        </is>
      </c>
      <c r="B59" s="10" t="inlineStr">
        <is>
          <t>Go/No-Go-vergadering</t>
        </is>
      </c>
      <c r="C59" s="10" t="inlineStr">
        <is>
          <t>Zeven criteria, unanimiteit vereist, startdatum inclusie vastleggen</t>
        </is>
      </c>
      <c r="D59" s="10" t="inlineStr">
        <is>
          <t>6</t>
        </is>
      </c>
      <c r="E59" s="10" t="inlineStr">
        <is>
          <t>feb 27</t>
        </is>
      </c>
      <c r="F59" s="10" t="inlineStr">
        <is>
          <t>D1.5</t>
        </is>
      </c>
      <c r="G59" s="10" t="inlineStr">
        <is>
          <t>Executive Board</t>
        </is>
      </c>
      <c r="H59" s="10" t="inlineStr">
        <is>
          <t>Te doen</t>
        </is>
      </c>
      <c r="I59" s="10" t="inlineStr">
        <is>
          <t>Zie blad Go-NoGo</t>
        </is>
      </c>
    </row>
    <row r="60">
      <c r="A60" s="16" t="inlineStr">
        <is>
          <t>Taak 1.6 — Rekrutering van 144 · M6–18 · D1.6 · MS4</t>
        </is>
      </c>
      <c r="B60" s="20" t="n"/>
      <c r="C60" s="20" t="n"/>
      <c r="D60" s="20" t="n"/>
      <c r="E60" s="20" t="n"/>
      <c r="F60" s="20" t="n"/>
      <c r="G60" s="20" t="n"/>
      <c r="H60" s="20" t="n"/>
      <c r="I60" s="21" t="n"/>
    </row>
    <row r="61">
      <c r="A61" s="9" t="inlineStr">
        <is>
          <t>1.6a</t>
        </is>
      </c>
      <c r="B61" s="10" t="inlineStr">
        <is>
          <t>Screening opstarten</t>
        </is>
      </c>
      <c r="C61" s="10" t="inlineStr">
        <is>
          <t>Retrospectief in de raadplegingsagenda's en prospectieve verwijzingen</t>
        </is>
      </c>
      <c r="D61" s="10" t="inlineStr">
        <is>
          <t>6</t>
        </is>
      </c>
      <c r="E61" s="10" t="inlineStr">
        <is>
          <t>feb 27</t>
        </is>
      </c>
      <c r="F61" s="10" t="inlineStr">
        <is>
          <t>D1.6</t>
        </is>
      </c>
      <c r="G61" s="10" t="inlineStr">
        <is>
          <t>Lokale PI</t>
        </is>
      </c>
      <c r="H61" s="10" t="inlineStr">
        <is>
          <t>Te doen</t>
        </is>
      </c>
      <c r="I61" s="10" t="n"/>
    </row>
    <row r="62" ht="25.5" customHeight="1" s="14">
      <c r="A62" s="9" t="inlineStr">
        <is>
          <t>1.6b</t>
        </is>
      </c>
      <c r="B62" s="10" t="inlineStr">
        <is>
          <t>Screeningslog bijhouden</t>
        </is>
      </c>
      <c r="C62" s="10" t="inlineStr">
        <is>
          <t>Iedereen die overwogen werd, met reden bij uitsluiting; voedt het CONSORT-diagram</t>
        </is>
      </c>
      <c r="D62" s="10" t="inlineStr">
        <is>
          <t>6–18</t>
        </is>
      </c>
      <c r="E62" s="10" t="inlineStr">
        <is>
          <t>feb 27 – feb 28</t>
        </is>
      </c>
      <c r="F62" s="10" t="inlineStr">
        <is>
          <t>D1.6</t>
        </is>
      </c>
      <c r="G62" s="10" t="inlineStr">
        <is>
          <t>Lokale PI</t>
        </is>
      </c>
      <c r="H62" s="10" t="inlineStr">
        <is>
          <t>Te doen</t>
        </is>
      </c>
      <c r="I62" s="10" t="n"/>
    </row>
    <row r="63" ht="25.5" customHeight="1" s="14">
      <c r="A63" s="9" t="inlineStr">
        <is>
          <t>1.6c</t>
        </is>
      </c>
      <c r="B63" s="10" t="inlineStr">
        <is>
          <t>Maandelijkse rekruteringsopvolging</t>
        </is>
      </c>
      <c r="C63" s="10" t="inlineStr">
        <is>
          <t>Twee per centrum per maand; bij scheve verdeling gefaseerde inclusie</t>
        </is>
      </c>
      <c r="D63" s="10" t="inlineStr">
        <is>
          <t>6–18</t>
        </is>
      </c>
      <c r="E63" s="10" t="inlineStr">
        <is>
          <t>feb 27 – feb 28</t>
        </is>
      </c>
      <c r="F63" s="10" t="inlineStr">
        <is>
          <t>D1.6</t>
        </is>
      </c>
      <c r="G63" s="10" t="inlineStr">
        <is>
          <t>PhD-A</t>
        </is>
      </c>
      <c r="H63" s="10" t="inlineStr">
        <is>
          <t>Te doen</t>
        </is>
      </c>
      <c r="I63" s="10" t="n"/>
    </row>
    <row r="64" ht="25.5" customHeight="1" s="14">
      <c r="A64" s="9" t="inlineStr">
        <is>
          <t>1.6d</t>
        </is>
      </c>
      <c r="B64" s="10" t="inlineStr">
        <is>
          <t>Uitval opvolgen tegen de aanname</t>
        </is>
      </c>
      <c r="C64" s="10" t="inlineStr">
        <is>
          <t>15% is een aanname; bij overschrijding wordt de rekrutering verlengd</t>
        </is>
      </c>
      <c r="D64" s="10" t="inlineStr">
        <is>
          <t>6–18</t>
        </is>
      </c>
      <c r="E64" s="10" t="inlineStr">
        <is>
          <t>feb 27 – feb 28</t>
        </is>
      </c>
      <c r="F64" s="10" t="inlineStr">
        <is>
          <t>D1.6</t>
        </is>
      </c>
      <c r="G64" s="10" t="inlineStr">
        <is>
          <t>PhD-A</t>
        </is>
      </c>
      <c r="H64" s="10" t="inlineStr">
        <is>
          <t>Te doen</t>
        </is>
      </c>
      <c r="I64" s="10" t="n"/>
    </row>
    <row r="65">
      <c r="A65" s="16" t="inlineStr">
        <is>
          <t>Taak 1.7 — Alle beoordelingen · M7–37 · D1.7 · MS5 en MS6</t>
        </is>
      </c>
      <c r="B65" s="20" t="n"/>
      <c r="C65" s="20" t="n"/>
      <c r="D65" s="20" t="n"/>
      <c r="E65" s="20" t="n"/>
      <c r="F65" s="20" t="n"/>
      <c r="G65" s="20" t="n"/>
      <c r="H65" s="20" t="n"/>
      <c r="I65" s="21" t="n"/>
    </row>
    <row r="66">
      <c r="A66" s="9" t="inlineStr">
        <is>
          <t>1.7a</t>
        </is>
      </c>
      <c r="B66" s="10" t="inlineStr">
        <is>
          <t>Negen contacten per deelnemer</t>
        </is>
      </c>
      <c r="C66" s="10" t="inlineStr">
        <is>
          <t>Screening, baseline, visite 2, en maand 3, 6, 9, 12, 15 en 18</t>
        </is>
      </c>
      <c r="D66" s="10" t="inlineStr">
        <is>
          <t>7–37</t>
        </is>
      </c>
      <c r="E66" s="10" t="inlineStr">
        <is>
          <t>mrt 27 – sep 29</t>
        </is>
      </c>
      <c r="F66" s="10" t="inlineStr">
        <is>
          <t>D1.7</t>
        </is>
      </c>
      <c r="G66" s="10" t="inlineStr">
        <is>
          <t>Centra + studieteam</t>
        </is>
      </c>
      <c r="H66" s="10" t="inlineStr">
        <is>
          <t>Te doen</t>
        </is>
      </c>
      <c r="I66" s="10" t="n"/>
    </row>
    <row r="67">
      <c r="A67" s="9" t="inlineStr">
        <is>
          <t>1.7b</t>
        </is>
      </c>
      <c r="B67" s="10" t="inlineStr">
        <is>
          <t>Drukmeting op vier momenten</t>
        </is>
      </c>
      <c r="C67" s="10" t="inlineStr">
        <is>
          <t>Baseline, maand 6, 12 en 18; behaalde reductie per deelnemer registreren</t>
        </is>
      </c>
      <c r="D67" s="10" t="inlineStr">
        <is>
          <t>7–37</t>
        </is>
      </c>
      <c r="E67" s="10" t="inlineStr">
        <is>
          <t>mrt 27 – sep 29</t>
        </is>
      </c>
      <c r="F67" s="10" t="inlineStr">
        <is>
          <t>D1.7</t>
        </is>
      </c>
      <c r="G67" s="10" t="inlineStr">
        <is>
          <t>Klinisch team</t>
        </is>
      </c>
      <c r="H67" s="10" t="inlineStr">
        <is>
          <t>Te doen</t>
        </is>
      </c>
      <c r="I67" s="10" t="n"/>
    </row>
    <row r="68">
      <c r="A68" s="9" t="inlineStr">
        <is>
          <t>1.7c</t>
        </is>
      </c>
      <c r="B68" s="10" t="inlineStr">
        <is>
          <t>MoveMonitor twee volle weken</t>
        </is>
      </c>
      <c r="C68" s="10" t="inlineStr">
        <is>
          <t>Zeven dagen op baseline en zeven dagen op maand 6, in beide armen</t>
        </is>
      </c>
      <c r="D68" s="10" t="inlineStr">
        <is>
          <t>7–37</t>
        </is>
      </c>
      <c r="E68" s="10" t="inlineStr">
        <is>
          <t>mrt 27 – sep 29</t>
        </is>
      </c>
      <c r="F68" s="10" t="inlineStr">
        <is>
          <t>D1.7</t>
        </is>
      </c>
      <c r="G68" s="10" t="inlineStr">
        <is>
          <t>Centra</t>
        </is>
      </c>
      <c r="H68" s="10" t="inlineStr">
        <is>
          <t>Te doen</t>
        </is>
      </c>
      <c r="I68" s="10" t="n"/>
    </row>
    <row r="69" ht="25.5" customHeight="1" s="14">
      <c r="A69" s="9" t="inlineStr">
        <is>
          <t>1.7d</t>
        </is>
      </c>
      <c r="B69" s="10" t="inlineStr">
        <is>
          <t>Orthotimer driemaandelijks uitlezen</t>
        </is>
      </c>
      <c r="C69" s="10" t="inlineStr">
        <is>
          <t>Uitlezen en batterij vervangen bij elke kwartaalvisite</t>
        </is>
      </c>
      <c r="D69" s="10" t="inlineStr">
        <is>
          <t>7–37</t>
        </is>
      </c>
      <c r="E69" s="10" t="inlineStr">
        <is>
          <t>mrt 27 – sep 29</t>
        </is>
      </c>
      <c r="F69" s="10" t="inlineStr">
        <is>
          <t>D1.7</t>
        </is>
      </c>
      <c r="G69" s="10" t="inlineStr">
        <is>
          <t>Centra</t>
        </is>
      </c>
      <c r="H69" s="10" t="inlineStr">
        <is>
          <t>Te doen</t>
        </is>
      </c>
      <c r="I69" s="10" t="n"/>
    </row>
    <row r="70" ht="25.5" customHeight="1" s="14">
      <c r="A70" s="9" t="inlineStr">
        <is>
          <t>1.7e</t>
        </is>
      </c>
      <c r="B70" s="10" t="inlineStr">
        <is>
          <t>Sensordatavolledigheid bewaken</t>
        </is>
      </c>
      <c r="C70" s="10" t="inlineStr">
        <is>
          <t>Halfjaarlijks centraal nakijken; onder 70% in een centrum volgt herscholing</t>
        </is>
      </c>
      <c r="D70" s="10" t="inlineStr">
        <is>
          <t>7–37</t>
        </is>
      </c>
      <c r="E70" s="10" t="inlineStr">
        <is>
          <t>mrt 27 – sep 29</t>
        </is>
      </c>
      <c r="F70" s="10" t="inlineStr">
        <is>
          <t>D1.7</t>
        </is>
      </c>
      <c r="G70" s="10" t="inlineStr">
        <is>
          <t>PhD-A</t>
        </is>
      </c>
      <c r="H70" s="10" t="inlineStr">
        <is>
          <t>Te doen</t>
        </is>
      </c>
      <c r="I70" s="10" t="n"/>
    </row>
    <row r="71" ht="25.5" customHeight="1" s="14">
      <c r="A71" s="9" t="inlineStr">
        <is>
          <t>1.7f</t>
        </is>
      </c>
      <c r="B71" s="10" t="inlineStr">
        <is>
          <t>Halfjaarlijkse veiligheidsreview</t>
        </is>
      </c>
      <c r="C71" s="10" t="inlineStr">
        <is>
          <t>Cumulatieve ulceratie en amputatie per arm, met Aalen-Johansen en sterfte als concurrerend risico</t>
        </is>
      </c>
      <c r="D71" s="10" t="inlineStr">
        <is>
          <t>7–37</t>
        </is>
      </c>
      <c r="E71" s="10" t="inlineStr">
        <is>
          <t>mrt 27 – sep 29</t>
        </is>
      </c>
      <c r="F71" s="10" t="inlineStr">
        <is>
          <t>D1.7</t>
        </is>
      </c>
      <c r="G71" s="10" t="inlineStr">
        <is>
          <t>PhD-A + site-PI's</t>
        </is>
      </c>
      <c r="H71" s="10" t="inlineStr">
        <is>
          <t>Te doen</t>
        </is>
      </c>
      <c r="I71" s="10" t="n"/>
    </row>
    <row r="72" ht="25.5" customHeight="1" s="14">
      <c r="A72" s="9" t="inlineStr">
        <is>
          <t>1.7g</t>
        </is>
      </c>
      <c r="B72" s="10" t="inlineStr">
        <is>
          <t>Centrale monitoring</t>
        </is>
      </c>
      <c r="C72" s="10" t="inlineStr">
        <is>
          <t>Rekrutering, toestemming, afwijkingen, datavolledigheid, envelopintegriteit, veiligheidsrapportering</t>
        </is>
      </c>
      <c r="D72" s="10" t="inlineStr">
        <is>
          <t>7–37</t>
        </is>
      </c>
      <c r="E72" s="10" t="inlineStr">
        <is>
          <t>mrt 27 – sep 29</t>
        </is>
      </c>
      <c r="F72" s="10" t="inlineStr">
        <is>
          <t>D1.7</t>
        </is>
      </c>
      <c r="G72" s="10" t="inlineStr">
        <is>
          <t>Monitor</t>
        </is>
      </c>
      <c r="H72" s="10" t="inlineStr">
        <is>
          <t>Te doen</t>
        </is>
      </c>
      <c r="I72" s="10" t="n"/>
    </row>
    <row r="73">
      <c r="A73" s="16" t="inlineStr">
        <is>
          <t>Taak 1.8 — Analyse en publicatie · M43–48 · D1.8 · MS9</t>
        </is>
      </c>
      <c r="B73" s="20" t="n"/>
      <c r="C73" s="20" t="n"/>
      <c r="D73" s="20" t="n"/>
      <c r="E73" s="20" t="n"/>
      <c r="F73" s="20" t="n"/>
      <c r="G73" s="20" t="n"/>
      <c r="H73" s="20" t="n"/>
      <c r="I73" s="21" t="n"/>
    </row>
    <row r="74" ht="25.5" customHeight="1" s="14">
      <c r="A74" s="9" t="inlineStr">
        <is>
          <t>1.8a</t>
        </is>
      </c>
      <c r="B74" s="10" t="inlineStr">
        <is>
          <t>Statistisch analyseplan schrijven</t>
        </is>
      </c>
      <c r="C74" s="10" t="inlineStr">
        <is>
          <t>Afgewerkt, versiebeheerd én gepubliceerd of gedeponeerd vóór de database-lock</t>
        </is>
      </c>
      <c r="D74" s="10" t="inlineStr">
        <is>
          <t>2</t>
        </is>
      </c>
      <c r="E74" s="10" t="inlineStr">
        <is>
          <t>okt 26</t>
        </is>
      </c>
      <c r="F74" s="10" t="inlineStr">
        <is>
          <t>Bijlage 4</t>
        </is>
      </c>
      <c r="G74" s="10" t="inlineStr">
        <is>
          <t>PhD-A</t>
        </is>
      </c>
      <c r="H74" s="10" t="inlineStr">
        <is>
          <t>Te doen</t>
        </is>
      </c>
      <c r="I74" s="10" t="inlineStr">
        <is>
          <t>Staat voor oktober 2026</t>
        </is>
      </c>
    </row>
    <row r="75">
      <c r="A75" s="9" t="inlineStr">
        <is>
          <t>1.8b</t>
        </is>
      </c>
      <c r="B75" s="10" t="inlineStr">
        <is>
          <t>Database-lock</t>
        </is>
      </c>
      <c r="C75" s="10" t="inlineStr">
        <is>
          <t>Na afronding van de laatste opvolgvisite</t>
        </is>
      </c>
      <c r="D75" s="10" t="inlineStr">
        <is>
          <t>38–42</t>
        </is>
      </c>
      <c r="E75" s="10" t="inlineStr">
        <is>
          <t>okt 29 – feb 30</t>
        </is>
      </c>
      <c r="F75" s="10" t="inlineStr">
        <is>
          <t>D1.8</t>
        </is>
      </c>
      <c r="G75" s="10" t="inlineStr">
        <is>
          <t>PhD-A + Deschamps</t>
        </is>
      </c>
      <c r="H75" s="10" t="inlineStr">
        <is>
          <t>Te doen</t>
        </is>
      </c>
      <c r="I75" s="10" t="n"/>
    </row>
    <row r="76" ht="25.5" customHeight="1" s="14">
      <c r="A76" s="9" t="inlineStr">
        <is>
          <t>1.8c</t>
        </is>
      </c>
      <c r="B76" s="10" t="inlineStr">
        <is>
          <t>Primaire analyse</t>
        </is>
      </c>
      <c r="C76" s="10" t="inlineStr">
        <is>
          <t>Cox gestratificeerd naar centrum, oorzaakspecifieke hazard primair, Fine-Gray en cumulatieve incidentie ernaast</t>
        </is>
      </c>
      <c r="D76" s="10" t="inlineStr">
        <is>
          <t>43–46</t>
        </is>
      </c>
      <c r="E76" s="10" t="inlineStr">
        <is>
          <t>mrt – jun 30</t>
        </is>
      </c>
      <c r="F76" s="10" t="inlineStr">
        <is>
          <t>D1.8</t>
        </is>
      </c>
      <c r="G76" s="10" t="inlineStr">
        <is>
          <t>Coördinerend onderzoeker</t>
        </is>
      </c>
      <c r="H76" s="10" t="inlineStr">
        <is>
          <t>Te doen</t>
        </is>
      </c>
      <c r="I76" s="10" t="n"/>
    </row>
    <row r="77" ht="25.5" customHeight="1" s="14">
      <c r="A77" s="9" t="inlineStr">
        <is>
          <t>1.8d</t>
        </is>
      </c>
      <c r="B77" s="10" t="inlineStr">
        <is>
          <t>Mediatie- en secundaire analyses</t>
        </is>
      </c>
      <c r="C77" s="10" t="inlineStr">
        <is>
          <t>Beta-regressie voor therapietrouw, vier vooraf bepaalde subgroepen, mediatie als ondersteunend</t>
        </is>
      </c>
      <c r="D77" s="10" t="inlineStr">
        <is>
          <t>43–46</t>
        </is>
      </c>
      <c r="E77" s="10" t="inlineStr">
        <is>
          <t>mrt – jun 30</t>
        </is>
      </c>
      <c r="F77" s="10" t="inlineStr">
        <is>
          <t>D1.8</t>
        </is>
      </c>
      <c r="G77" s="10" t="inlineStr">
        <is>
          <t>Coördinerend onderzoeker</t>
        </is>
      </c>
      <c r="H77" s="10" t="inlineStr">
        <is>
          <t>Te doen</t>
        </is>
      </c>
      <c r="I77" s="10" t="n"/>
    </row>
    <row r="78" ht="25.5" customHeight="1" s="14">
      <c r="A78" s="9" t="inlineStr">
        <is>
          <t>1.8e</t>
        </is>
      </c>
      <c r="B78" s="10" t="inlineStr">
        <is>
          <t>Manuscript en rapportage</t>
        </is>
      </c>
      <c r="C78" s="10" t="inlineStr">
        <is>
          <t>Eén multicentrische publicatie volgens CONSORT 2025; resultaten in het register binnen twaalf maanden na de laatste visite</t>
        </is>
      </c>
      <c r="D78" s="10" t="inlineStr">
        <is>
          <t>46–48</t>
        </is>
      </c>
      <c r="E78" s="10" t="inlineStr">
        <is>
          <t>jun – aug 30</t>
        </is>
      </c>
      <c r="F78" s="10" t="inlineStr">
        <is>
          <t>D1.8</t>
        </is>
      </c>
      <c r="G78" s="10" t="inlineStr">
        <is>
          <t>PhD-A</t>
        </is>
      </c>
      <c r="H78" s="10" t="inlineStr">
        <is>
          <t>Te doen</t>
        </is>
      </c>
      <c r="I78" s="10" t="n"/>
    </row>
    <row r="79">
      <c r="A79" s="9" t="inlineStr">
        <is>
          <t>1.8f</t>
        </is>
      </c>
      <c r="B79" s="10" t="inlineStr">
        <is>
          <t>Samenvatting in gewone taal</t>
        </is>
      </c>
      <c r="C79" s="10" t="inlineStr">
        <is>
          <t>Voor alle deelnemers, ongeacht de uitkomst</t>
        </is>
      </c>
      <c r="D79" s="10" t="inlineStr">
        <is>
          <t>48</t>
        </is>
      </c>
      <c r="E79" s="10" t="inlineStr">
        <is>
          <t>aug 30</t>
        </is>
      </c>
      <c r="F79" s="10" t="inlineStr">
        <is>
          <t>D1.8</t>
        </is>
      </c>
      <c r="G79" s="10" t="inlineStr">
        <is>
          <t>PhD-A</t>
        </is>
      </c>
      <c r="H79" s="10" t="inlineStr">
        <is>
          <t>Te doen</t>
        </is>
      </c>
      <c r="I79" s="10" t="n"/>
    </row>
  </sheetData>
  <autoFilter ref="A4:I79"/>
  <mergeCells count="11">
    <mergeCell ref="A65:I65"/>
    <mergeCell ref="A73:I73"/>
    <mergeCell ref="A41:I41"/>
    <mergeCell ref="A2:I2"/>
    <mergeCell ref="A5:I5"/>
    <mergeCell ref="A60:I60"/>
    <mergeCell ref="A1:I1"/>
    <mergeCell ref="A17:I17"/>
    <mergeCell ref="A53:I53"/>
    <mergeCell ref="A35:I35"/>
    <mergeCell ref="A26:I26"/>
  </mergeCells>
  <conditionalFormatting sqref="H5:H79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1">
    <dataValidation sqref="H5:H79" showDropDown="0" showInputMessage="0" showErrorMessage="0" allowBlank="1" errorTitle="Ongeldige status" error="Kies een status uit de lijst." type="list">
      <formula1>"Te doen,Bezig,Klaar,Geblokkeerd,Vervalt"</formula1>
    </dataValidation>
  </dataValidations>
  <hyperlinks>
    <hyperlink xmlns:r="http://schemas.openxmlformats.org/officeDocument/2006/relationships" ref="I18" display="https://euroqol.org/register/?utm_source=chatgpt.com" r:id="rId1"/>
  </hyperlink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workbookViewId="0">
      <pane ySplit="4" topLeftCell="A10" activePane="bottomLeft" state="frozen"/>
      <selection pane="bottomLeft" activeCell="B14" sqref="B14"/>
    </sheetView>
  </sheetViews>
  <sheetFormatPr baseColWidth="8" defaultRowHeight="15"/>
  <cols>
    <col width="6" customWidth="1" style="14" min="1" max="1"/>
    <col width="34" customWidth="1" style="14" min="2" max="2"/>
    <col width="74" customWidth="1" style="14" min="3" max="3"/>
    <col width="26" customWidth="1" style="14" min="4" max="4"/>
    <col width="12" customWidth="1" style="14" min="5" max="5"/>
    <col width="13" customWidth="1" style="14" min="6" max="6"/>
    <col width="26" customWidth="1" style="14" min="7" max="7"/>
  </cols>
  <sheetData>
    <row r="1" ht="18.75" customHeight="1" s="14">
      <c r="A1" s="15" t="inlineStr">
        <is>
          <t>Openstaande punten</t>
        </is>
      </c>
    </row>
    <row r="2">
      <c r="A2" s="18" t="inlineStr">
        <is>
          <t>Vijfentwintig punten, geordend naar wat ze vragen. Nagelopen tegen de bestanden op 10 september 2026.</t>
        </is>
      </c>
    </row>
    <row r="4" ht="26.1" customHeight="1" s="14">
      <c r="A4" s="8" t="inlineStr">
        <is>
          <t>Nr</t>
        </is>
      </c>
      <c r="B4" s="8" t="inlineStr">
        <is>
          <t>Punt</t>
        </is>
      </c>
      <c r="C4" s="8" t="inlineStr">
        <is>
          <t>Wat er moet gebeuren</t>
        </is>
      </c>
      <c r="D4" s="8" t="inlineStr">
        <is>
          <t>Waar</t>
        </is>
      </c>
      <c r="E4" s="8" t="inlineStr">
        <is>
          <t>Prioriteit</t>
        </is>
      </c>
      <c r="F4" s="8" t="inlineStr">
        <is>
          <t>Status</t>
        </is>
      </c>
      <c r="G4" s="8" t="inlineStr">
        <is>
          <t>Opmerking</t>
        </is>
      </c>
    </row>
    <row r="5">
      <c r="A5" s="16" t="inlineStr">
        <is>
          <t xml:space="preserve">A — Tegenstrijdig binnen het manuscript </t>
        </is>
      </c>
      <c r="B5" s="20" t="n"/>
      <c r="C5" s="20" t="n"/>
      <c r="D5" s="20" t="n"/>
      <c r="E5" s="20" t="n"/>
      <c r="F5" s="20" t="n"/>
      <c r="G5" s="21" t="n"/>
    </row>
    <row r="6" ht="38.25" customHeight="1" s="14">
      <c r="A6" s="9" t="n">
        <v>1</v>
      </c>
      <c r="B6" s="10" t="inlineStr">
        <is>
          <t>Wie het ulcus vaststelt</t>
        </is>
      </c>
      <c r="C6" s="10" t="inlineStr">
        <is>
          <t>Kiezen tussen een onafhankelijke geblindeerde commissie en het multidisciplinaire team dat nu in de methodesectie staat, en dan zes plaatsen gelijkzetten</t>
        </is>
      </c>
      <c r="D6" s="10" t="inlineStr">
        <is>
          <t>Methods, Strengths, Limitations, tabel 3, statistiek, SPIRIT 3d en 24c</t>
        </is>
      </c>
      <c r="E6" s="10" t="inlineStr">
        <is>
          <t>Hoog</t>
        </is>
      </c>
      <c r="F6" s="10" t="inlineStr">
        <is>
          <t>Te doen</t>
        </is>
      </c>
      <c r="G6" s="10" t="inlineStr">
        <is>
          <t>Eerst doen: raakt ook de werving</t>
        </is>
      </c>
    </row>
    <row r="7" ht="25.5" customHeight="1" s="14">
      <c r="A7" s="9" t="n">
        <v>2</v>
      </c>
      <c r="B7" s="10" t="inlineStr">
        <is>
          <t>Randomisatiemethode</t>
        </is>
      </c>
      <c r="C7" s="10" t="inlineStr">
        <is>
          <t>De zin over identieke, door elkaar gestoken enveloppen in de methodesectie zetten, en 'variable permuted blocks' uit het onderschrift van figuur 1 halen</t>
        </is>
      </c>
      <c r="D7" s="10" t="inlineStr">
        <is>
          <t>Methods, onderschrift figuur 1</t>
        </is>
      </c>
      <c r="E7" s="10" t="inlineStr">
        <is>
          <t>Hoog</t>
        </is>
      </c>
      <c r="F7" s="10" t="inlineStr">
        <is>
          <t>Te doen</t>
        </is>
      </c>
      <c r="G7" s="10" t="inlineStr">
        <is>
          <t>SPIRIT-item 16a; methode beslist 10 sep</t>
        </is>
      </c>
    </row>
    <row r="8" ht="25.5" customHeight="1" s="14">
      <c r="A8" s="9" t="n">
        <v>3</v>
      </c>
      <c r="B8" s="10" t="inlineStr">
        <is>
          <t>Doelstelling en hypothesen</t>
        </is>
      </c>
      <c r="C8" s="10" t="inlineStr">
        <is>
          <t>Objectives en Hypotheses formuleren nog een dubbel doel; gelijkzetten met het ene primaire eindpunt</t>
        </is>
      </c>
      <c r="D8" s="10" t="inlineStr">
        <is>
          <t>Objectives, Hypotheses</t>
        </is>
      </c>
      <c r="E8" s="10" t="inlineStr">
        <is>
          <t>Hoog</t>
        </is>
      </c>
      <c r="F8" s="10" t="inlineStr">
        <is>
          <t>Te doen</t>
        </is>
      </c>
      <c r="G8" s="10" t="n"/>
    </row>
    <row r="9" ht="25.5" customHeight="1" s="14">
      <c r="A9" s="9" t="n">
        <v>4</v>
      </c>
      <c r="B9" s="10" t="inlineStr">
        <is>
          <t>Wat Optimal Care omvat</t>
        </is>
      </c>
      <c r="C9" s="10" t="inlineStr">
        <is>
          <t>De labels '(Optimal Care)' uit tabel 2 halen bij voorschrift en aflevering van de CMFO</t>
        </is>
      </c>
      <c r="D9" s="10" t="inlineStr">
        <is>
          <t>Tabel 2</t>
        </is>
      </c>
      <c r="E9" s="10" t="inlineStr">
        <is>
          <t>Middel</t>
        </is>
      </c>
      <c r="F9" s="10" t="inlineStr">
        <is>
          <t>Klaar</t>
        </is>
      </c>
      <c r="G9" s="10" t="inlineStr">
        <is>
          <t>Titel van tabel 4 is al rechtgezet</t>
        </is>
      </c>
    </row>
    <row r="10" ht="25.5" customHeight="1" s="14">
      <c r="A10" s="9" t="n">
        <v>5</v>
      </c>
      <c r="B10" s="10" t="inlineStr">
        <is>
          <t>Drukmeting op visite 2</t>
        </is>
      </c>
      <c r="C10" s="10" t="inlineStr">
        <is>
          <t>De drukmeting aanvinken op V2 in tabel 2, en de aparte visite 0 uit het protocol expliciet maken</t>
        </is>
      </c>
      <c r="D10" s="10" t="inlineStr">
        <is>
          <t>Tabel 2</t>
        </is>
      </c>
      <c r="E10" s="10" t="inlineStr">
        <is>
          <t>Middel</t>
        </is>
      </c>
      <c r="F10" s="10" t="inlineStr">
        <is>
          <t>Te doen</t>
        </is>
      </c>
      <c r="G10" s="10" t="n"/>
    </row>
    <row r="11" ht="38.25" customHeight="1" s="14">
      <c r="A11" s="9" t="n">
        <v>6</v>
      </c>
      <c r="B11" s="10" t="inlineStr">
        <is>
          <t>Wie het ulcus vaststelt</t>
        </is>
      </c>
      <c r="C11" s="10" t="inlineStr">
        <is>
          <t>Kiezen tussen een onafhankelijke geblindeerde commissie en het multidisciplinaire team dat nu in de methodesectie staat, en dan zes plaatsen gelijkzetten</t>
        </is>
      </c>
      <c r="D11" s="10" t="inlineStr">
        <is>
          <t>Methods, Strengths, Limitations, tabel 3, statistiek, SPIRIT 3d en 24c</t>
        </is>
      </c>
      <c r="E11" s="10" t="inlineStr">
        <is>
          <t>Hoog</t>
        </is>
      </c>
      <c r="F11" s="10" t="inlineStr">
        <is>
          <t>Te doen</t>
        </is>
      </c>
      <c r="G11" s="10" t="inlineStr">
        <is>
          <t>Eerst doen: raakt ook de werving</t>
        </is>
      </c>
    </row>
    <row r="12">
      <c r="A12" s="16" t="inlineStr">
        <is>
          <t>B — Redactie en pakket · kan grotendeels vandaag</t>
        </is>
      </c>
      <c r="B12" s="20" t="n"/>
      <c r="C12" s="20" t="n"/>
      <c r="D12" s="20" t="n"/>
      <c r="E12" s="20" t="n"/>
      <c r="F12" s="20" t="n"/>
      <c r="G12" s="21" t="n"/>
    </row>
    <row r="13" ht="25.5" customHeight="1" s="14">
      <c r="A13" s="9" t="n">
        <v>7</v>
      </c>
      <c r="B13" s="10" t="inlineStr">
        <is>
          <t>Figuur 3 en 5 zonder titel</t>
        </is>
      </c>
      <c r="C13" s="10" t="inlineStr">
        <is>
          <t>Titelregel en ondertitel toevoegen in de SVG, zoals figuur 1, 2 en 4 die hebben</t>
        </is>
      </c>
      <c r="D13" s="10" t="inlineStr">
        <is>
          <t>Figure3_logic_model.svg, Figure5_CPTS.svg</t>
        </is>
      </c>
      <c r="E13" s="10" t="inlineStr">
        <is>
          <t>Middel</t>
        </is>
      </c>
      <c r="F13" s="10" t="inlineStr">
        <is>
          <t>Klaar</t>
        </is>
      </c>
      <c r="G13" s="10" t="n"/>
    </row>
    <row r="14" ht="25.5" customHeight="1" s="14">
      <c r="A14" s="24" t="n">
        <v>8</v>
      </c>
      <c r="B14" s="23" t="inlineStr">
        <is>
          <t>Plaatsingsmarkeringen en verwijzingen</t>
        </is>
      </c>
      <c r="C14" s="23" t="inlineStr">
        <is>
          <t>Markering toevoegen voor figuur 1, 4 en 5; de dubbele markering voor tabel 2 weghalen; bijlage 4 en figuur 5 aanhalen in de tekst</t>
        </is>
      </c>
      <c r="D14" s="23" t="inlineStr">
        <is>
          <t>Lopende tekst</t>
        </is>
      </c>
      <c r="E14" s="23" t="inlineStr">
        <is>
          <t>Middel</t>
        </is>
      </c>
      <c r="F14" s="23" t="inlineStr">
        <is>
          <t>Te doen</t>
        </is>
      </c>
      <c r="G14" s="23" t="inlineStr"/>
    </row>
    <row r="15">
      <c r="A15" s="9" t="n">
        <v>9</v>
      </c>
      <c r="B15" s="10" t="inlineStr">
        <is>
          <t>Toekenningsbrief FWO</t>
        </is>
      </c>
      <c r="C15" s="10" t="inlineStr">
        <is>
          <t>Opvragen en toevoegen; bijlage 6 toont nu alleen de ingediende aanvraag</t>
        </is>
      </c>
      <c r="D15" s="10" t="inlineStr">
        <is>
          <t>Bijlage 6</t>
        </is>
      </c>
      <c r="E15" s="10" t="inlineStr">
        <is>
          <t>Middel</t>
        </is>
      </c>
      <c r="F15" s="10" t="inlineStr">
        <is>
          <t>Te doen</t>
        </is>
      </c>
      <c r="G15" s="10" t="n"/>
    </row>
    <row r="16" ht="25.5" customHeight="1" s="14">
      <c r="A16" s="9" t="n">
        <v>10</v>
      </c>
      <c r="B16" s="10" t="inlineStr">
        <is>
          <t>eCRF 01</t>
        </is>
      </c>
      <c r="C16" s="10" t="inlineStr">
        <is>
          <t>Drie criteria aanvullen (PEDIS graad 3, immunosuppressie, stabiele vaatstatus) en 'niet de eerste metatarsaalkop' weghalen</t>
        </is>
      </c>
      <c r="D16" s="10" t="inlineStr">
        <is>
          <t>eCRF 01</t>
        </is>
      </c>
      <c r="E16" s="10" t="inlineStr">
        <is>
          <t>Hoog</t>
        </is>
      </c>
      <c r="F16" s="10" t="inlineStr">
        <is>
          <t>Te doen</t>
        </is>
      </c>
      <c r="G16" s="10" t="n"/>
    </row>
    <row r="17">
      <c r="A17" s="9" t="n">
        <v>11</v>
      </c>
      <c r="B17" s="10" t="inlineStr">
        <is>
          <t>Scoreformulier slijtageschaal</t>
        </is>
      </c>
      <c r="C17" s="10" t="inlineStr">
        <is>
          <t>Ontbreekt, terwijl de meting op visite 2 en op maand 6, 12 en 18 gepland staat</t>
        </is>
      </c>
      <c r="D17" s="10" t="inlineStr">
        <is>
          <t>eCRF-set</t>
        </is>
      </c>
      <c r="E17" s="10" t="inlineStr">
        <is>
          <t>Middel</t>
        </is>
      </c>
      <c r="F17" s="10" t="inlineStr">
        <is>
          <t>Te doen</t>
        </is>
      </c>
      <c r="G17" s="10" t="n"/>
    </row>
    <row r="18" ht="25.5" customHeight="1" s="14">
      <c r="A18" s="9" t="n">
        <v>12</v>
      </c>
      <c r="B18" s="10" t="inlineStr">
        <is>
          <t>Werkinstructie pedar</t>
        </is>
      </c>
      <c r="C18" s="10" t="inlineStr">
        <is>
          <t>Ontbreekt volledig; voor MoveMonitor (19b) en Orthotimer (25b) bestaat er wel een</t>
        </is>
      </c>
      <c r="D18" s="10" t="inlineStr">
        <is>
          <t>eCRF-set</t>
        </is>
      </c>
      <c r="E18" s="10" t="inlineStr">
        <is>
          <t>Hoog</t>
        </is>
      </c>
      <c r="F18" s="10" t="inlineStr">
        <is>
          <t>Te doen</t>
        </is>
      </c>
      <c r="G18" s="10" t="inlineStr">
        <is>
          <t>Toestel waarop de klinische beslissing rust</t>
        </is>
      </c>
    </row>
    <row r="19">
      <c r="A19" s="9" t="n">
        <v>13</v>
      </c>
      <c r="B19" s="20" t="n"/>
      <c r="C19" s="20" t="n"/>
      <c r="D19" s="20" t="n"/>
      <c r="E19" s="20" t="n"/>
      <c r="F19" s="20" t="n"/>
      <c r="G19" s="21" t="n"/>
    </row>
    <row r="20">
      <c r="A20" s="9" t="n">
        <v>14</v>
      </c>
      <c r="B20" s="10" t="inlineStr">
        <is>
          <t>Texas Wound Classification</t>
        </is>
      </c>
      <c r="C20" s="10" t="inlineStr">
        <is>
          <t>Zit niet meer in de eCRF-set en staat niet in het manuscript</t>
        </is>
      </c>
      <c r="D20" s="10" t="inlineStr">
        <is>
          <t>eCRF-set</t>
        </is>
      </c>
      <c r="E20" s="10" t="inlineStr">
        <is>
          <t>Laag</t>
        </is>
      </c>
      <c r="F20" s="10" t="inlineStr">
        <is>
          <t>Vervalt</t>
        </is>
      </c>
      <c r="G20" s="10" t="inlineStr">
        <is>
          <t>Opgelost</t>
        </is>
      </c>
    </row>
    <row r="21">
      <c r="A21" s="9" t="n">
        <v>15</v>
      </c>
      <c r="B21" s="10" t="inlineStr">
        <is>
          <t>Formulierenroute</t>
        </is>
      </c>
      <c r="C21" s="10" t="inlineStr">
        <is>
          <t>'Academic staff' preciseren: wie voert in, en welke rollen krijgt de databank</t>
        </is>
      </c>
      <c r="D21" s="10" t="inlineStr">
        <is>
          <t>Data collection</t>
        </is>
      </c>
      <c r="E21" s="10" t="inlineStr">
        <is>
          <t>Middel</t>
        </is>
      </c>
      <c r="F21" s="10" t="inlineStr">
        <is>
          <t>Te doen</t>
        </is>
      </c>
      <c r="G21" s="10" t="n"/>
    </row>
    <row r="22" ht="25.5" customHeight="1" s="14">
      <c r="A22" s="9" t="n">
        <v>16</v>
      </c>
      <c r="B22" s="10" t="inlineStr">
        <is>
          <t>Zeven blanco velden</t>
        </is>
      </c>
      <c r="C22" s="10" t="inlineStr">
        <is>
          <t>Registratienummer en -datum, startdatum rekrutering, herschrijfmarkering ethiek, belangenconflicten, auteursbijdragen, dankwoord</t>
        </is>
      </c>
      <c r="D22" s="10" t="inlineStr">
        <is>
          <t>Abstract, Trial status, Declarations</t>
        </is>
      </c>
      <c r="E22" s="10" t="inlineStr">
        <is>
          <t>Hoog</t>
        </is>
      </c>
      <c r="F22" s="10" t="inlineStr">
        <is>
          <t>Te doen</t>
        </is>
      </c>
      <c r="G22" s="10" t="inlineStr">
        <is>
          <t>Zie blad Manuscriptpakket</t>
        </is>
      </c>
    </row>
    <row r="23">
      <c r="A23" s="16" t="inlineStr">
        <is>
          <t>C — Projectdocumenten · bijwerken bij de eerste voortgangsrapportage</t>
        </is>
      </c>
      <c r="B23" s="20" t="n"/>
      <c r="C23" s="20" t="n"/>
      <c r="D23" s="20" t="n"/>
      <c r="E23" s="20" t="n"/>
      <c r="F23" s="20" t="n"/>
      <c r="G23" s="21" t="n"/>
    </row>
    <row r="24" ht="25.5" customHeight="1" s="14">
      <c r="A24" s="9" t="n">
        <v>17</v>
      </c>
      <c r="B24" s="10" t="inlineStr">
        <is>
          <t>Go-criterium 6 en 7</t>
        </is>
      </c>
      <c r="C24" s="10" t="inlineStr">
        <is>
          <t>De ICC-drempel verplaatsen naar het klinische toestel, en de methodevergelijking uit de startvoorwaarden halen</t>
        </is>
      </c>
      <c r="D24" s="10" t="inlineStr">
        <is>
          <t>Draaiboek fase 06</t>
        </is>
      </c>
      <c r="E24" s="10" t="inlineStr">
        <is>
          <t>Middel</t>
        </is>
      </c>
      <c r="F24" s="10" t="inlineStr">
        <is>
          <t>Te doen</t>
        </is>
      </c>
      <c r="G24" s="10" t="n"/>
    </row>
    <row r="25">
      <c r="A25" s="9" t="n">
        <v>18</v>
      </c>
      <c r="B25" s="10" t="inlineStr">
        <is>
          <t>MS4, MS5 en MS6</t>
        </is>
      </c>
      <c r="C25" s="10" t="inlineStr">
        <is>
          <t>Staan op M24 en M42; protocol en manuscript komen op M18 en M37 uit</t>
        </is>
      </c>
      <c r="D25" s="10" t="inlineStr">
        <is>
          <t>FWO-planning</t>
        </is>
      </c>
      <c r="E25" s="10" t="inlineStr">
        <is>
          <t>Laag</t>
        </is>
      </c>
      <c r="F25" s="10" t="inlineStr">
        <is>
          <t>Te doen</t>
        </is>
      </c>
      <c r="G25" s="10" t="inlineStr">
        <is>
          <t>Speling, geen probleem</t>
        </is>
      </c>
    </row>
    <row r="26"/>
    <row r="27">
      <c r="A27" s="25" t="inlineStr">
        <is>
          <t>Nieuw op 11 september — zelf inpassen waar je ze wilt</t>
        </is>
      </c>
    </row>
    <row r="28">
      <c r="A28" s="24" t="inlineStr"/>
      <c r="B28" s="23" t="inlineStr">
        <is>
          <t>Blootsvoets of in-shoe — beslist</t>
        </is>
      </c>
      <c r="C28" s="23" t="inlineStr">
        <is>
          <t>Alles in-shoe, twee condities: zónder en mét de CMFO. De 25%-reductie is het verschil tussen die twee, in dezelfde sessie gemeten. Tabel 4 van het manuscript had het goed</t>
        </is>
      </c>
      <c r="D28" s="23" t="inlineStr">
        <is>
          <t>Manuscript, protocol</t>
        </is>
      </c>
      <c r="E28" s="23" t="inlineStr">
        <is>
          <t>—</t>
        </is>
      </c>
      <c r="F28" s="23" t="inlineStr">
        <is>
          <t>Klaar</t>
        </is>
      </c>
      <c r="G28" s="23" t="inlineStr">
        <is>
          <t>Beslissing PI 11 sep</t>
        </is>
      </c>
    </row>
    <row r="29">
      <c r="A29" s="24" t="inlineStr"/>
      <c r="B29" s="23" t="inlineStr">
        <is>
          <t>eCRF 09 bijwerken</t>
        </is>
      </c>
      <c r="C29" s="23" t="inlineStr">
        <is>
          <t>Beschrijft nu een blootsvoetse baselinemeting met sensoren op de voet; moet in-shoe zónder de CMFO worden</t>
        </is>
      </c>
      <c r="D29" s="23" t="inlineStr">
        <is>
          <t>eCRF 09</t>
        </is>
      </c>
      <c r="E29" s="23" t="inlineStr">
        <is>
          <t>Hoog</t>
        </is>
      </c>
      <c r="F29" s="23" t="inlineStr">
        <is>
          <t>Te doen</t>
        </is>
      </c>
      <c r="G29" s="23" t="inlineStr">
        <is>
          <t>Volgt uit de beslissing</t>
        </is>
      </c>
    </row>
    <row r="30">
      <c r="A30" s="24" t="inlineStr"/>
      <c r="B30" s="23" t="inlineStr">
        <is>
          <t>eCRF 24 bijwerken</t>
        </is>
      </c>
      <c r="C30" s="23" t="inlineStr">
        <is>
          <t>De blootsvoetse conditie vervalt; de twee overblijvende condities worden op elk meetmoment allebei gemeten</t>
        </is>
      </c>
      <c r="D30" s="23" t="inlineStr">
        <is>
          <t>eCRF 24</t>
        </is>
      </c>
      <c r="E30" s="23" t="inlineStr">
        <is>
          <t>Hoog</t>
        </is>
      </c>
      <c r="F30" s="23" t="inlineStr">
        <is>
          <t>Te doen</t>
        </is>
      </c>
      <c r="G30" s="23" t="inlineStr">
        <is>
          <t>Volgt uit de beslissing</t>
        </is>
      </c>
    </row>
    <row r="31">
      <c r="A31" s="24" t="inlineStr"/>
      <c r="B31" s="23" t="inlineStr">
        <is>
          <t>SOP-2 en opleidingsmodule 3 bijwerken</t>
        </is>
      </c>
      <c r="C31" s="23" t="inlineStr">
        <is>
          <t>Meetprotocol en training moeten de in-shoe condities beschrijven in plaats van een blootsvoetse meting</t>
        </is>
      </c>
      <c r="D31" s="23" t="inlineStr">
        <is>
          <t>SOP-2, module 3</t>
        </is>
      </c>
      <c r="E31" s="23" t="inlineStr">
        <is>
          <t>Hoog</t>
        </is>
      </c>
      <c r="F31" s="23" t="inlineStr">
        <is>
          <t>Te doen</t>
        </is>
      </c>
      <c r="G31" s="23" t="inlineStr">
        <is>
          <t>Volgt uit de beslissing</t>
        </is>
      </c>
    </row>
    <row r="32">
      <c r="A32" s="24" t="inlineStr"/>
      <c r="B32" s="23" t="inlineStr">
        <is>
          <t>Referentie bij nieuw schoeisel beslissen</t>
        </is>
      </c>
      <c r="C32" s="23" t="inlineStr">
        <is>
          <t>Beantwoord: de meting zónder zool hoort bij elk meetmoment, dus er is geen oude referentie die kan verouderen</t>
        </is>
      </c>
      <c r="D32" s="23" t="inlineStr">
        <is>
          <t>eCRF 24, SOP-2</t>
        </is>
      </c>
      <c r="E32" s="23" t="inlineStr">
        <is>
          <t>Middel</t>
        </is>
      </c>
      <c r="F32" s="23" t="inlineStr">
        <is>
          <t>Vervalt</t>
        </is>
      </c>
      <c r="G32" s="23" t="inlineStr">
        <is>
          <t>Opgelost door de beslissing</t>
        </is>
      </c>
    </row>
  </sheetData>
  <autoFilter ref="A4:G29"/>
  <mergeCells count="5">
    <mergeCell ref="A1:G1"/>
    <mergeCell ref="A12:G12"/>
    <mergeCell ref="A2:G2"/>
    <mergeCell ref="A5:G5"/>
    <mergeCell ref="A23:G23"/>
  </mergeCells>
  <conditionalFormatting sqref="F5:F29">
    <cfRule type="cellIs" priority="1" operator="equal" dxfId="18">
      <formula>"Klaar"</formula>
    </cfRule>
    <cfRule type="cellIs" priority="2" operator="equal" dxfId="19">
      <formula>"Bezig"</formula>
    </cfRule>
    <cfRule type="cellIs" priority="3" operator="equal" dxfId="20">
      <formula>"Geblokkeerd"</formula>
    </cfRule>
    <cfRule type="cellIs" priority="4" operator="equal" dxfId="21">
      <formula>"Vervalt"</formula>
    </cfRule>
  </conditionalFormatting>
  <dataValidations count="1">
    <dataValidation sqref="F5:F29" showDropDown="0" showInputMessage="0" showErrorMessage="0" allowBlank="1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workbookViewId="0">
      <pane ySplit="4" topLeftCell="A5" activePane="bottomLeft" state="frozen"/>
      <selection pane="bottomLeft" activeCell="K28" sqref="K28"/>
    </sheetView>
  </sheetViews>
  <sheetFormatPr baseColWidth="8" defaultRowHeight="15"/>
  <cols>
    <col width="6" customWidth="1" style="14" min="1" max="1"/>
    <col width="52" customWidth="1" style="14" min="2" max="2"/>
    <col width="46" customWidth="1" style="14" min="3" max="3"/>
    <col width="34" customWidth="1" style="14" min="4" max="4"/>
    <col width="13" customWidth="1" style="14" min="5" max="5"/>
    <col width="30" customWidth="1" style="14" min="6" max="6"/>
    <col width="13" customWidth="1" style="14" min="7" max="10"/>
    <col width="24" customWidth="1" style="14" min="11" max="11"/>
  </cols>
  <sheetData>
    <row r="1" ht="18.75" customHeight="1" s="14">
      <c r="A1" s="15" t="inlineStr">
        <is>
          <t>Go/No-Go — maand 6</t>
        </is>
      </c>
    </row>
    <row r="2">
      <c r="A2" s="18" t="inlineStr">
        <is>
          <t>Zeven criteria voor de Executive Board, plus de negen site-readinesscriteria per centrum.</t>
        </is>
      </c>
    </row>
    <row r="4" ht="26.1" customHeight="1" s="14">
      <c r="A4" s="8" t="inlineStr">
        <is>
          <t>Nr</t>
        </is>
      </c>
      <c r="B4" s="8" t="inlineStr">
        <is>
          <t>Criterium</t>
        </is>
      </c>
      <c r="C4" s="8" t="inlineStr">
        <is>
          <t>Go-drempel</t>
        </is>
      </c>
      <c r="D4" s="8" t="inlineStr">
        <is>
          <t>Bewijsstuk</t>
        </is>
      </c>
      <c r="E4" s="8" t="inlineStr">
        <is>
          <t>Status</t>
        </is>
      </c>
      <c r="F4" s="8" t="inlineStr">
        <is>
          <t>Opmerking</t>
        </is>
      </c>
    </row>
    <row r="5">
      <c r="A5" s="16" t="inlineStr">
        <is>
          <t>Zeven Go-criteria · Executive Board, maand 6, unanimiteit vereist</t>
        </is>
      </c>
      <c r="B5" s="20" t="n"/>
      <c r="C5" s="20" t="n"/>
      <c r="D5" s="20" t="n"/>
      <c r="E5" s="20" t="n"/>
      <c r="F5" s="21" t="n"/>
    </row>
    <row r="6" ht="25.5" customHeight="1" s="14">
      <c r="A6" s="9" t="n">
        <v>1</v>
      </c>
      <c r="B6" s="10" t="inlineStr">
        <is>
          <t>Ethische goedkeuringen</t>
        </is>
      </c>
      <c r="C6" s="10" t="inlineStr">
        <is>
          <t>Zeven op zeven — centraal, zes lokaal, plus de bevoegde autoriteit</t>
        </is>
      </c>
      <c r="D6" s="10" t="inlineStr">
        <is>
          <t>Goedkeuringsbrieven en registratienummers</t>
        </is>
      </c>
      <c r="E6" s="10" t="inlineStr">
        <is>
          <t>Bezig</t>
        </is>
      </c>
      <c r="F6" s="10" t="n"/>
    </row>
    <row r="7">
      <c r="A7" s="9" t="n">
        <v>2</v>
      </c>
      <c r="B7" s="10" t="inlineStr">
        <is>
          <t>Site readiness</t>
        </is>
      </c>
      <c r="C7" s="10" t="inlineStr">
        <is>
          <t>Zes op zes centra voldoen aan alle negen criteria</t>
        </is>
      </c>
      <c r="D7" s="10" t="inlineStr">
        <is>
          <t>Ingevulde checklists</t>
        </is>
      </c>
      <c r="E7" s="10" t="inlineStr">
        <is>
          <t>Te doen</t>
        </is>
      </c>
      <c r="F7" s="10" t="inlineStr">
        <is>
          <t>Zie hieronder</t>
        </is>
      </c>
    </row>
    <row r="8">
      <c r="A8" s="9" t="n">
        <v>3</v>
      </c>
      <c r="B8" s="10" t="inlineStr">
        <is>
          <t>Databank operationeel</t>
        </is>
      </c>
      <c r="C8" s="10" t="inlineStr">
        <is>
          <t>Nul kritische bugs na acceptatietest, versie-locked</t>
        </is>
      </c>
      <c r="D8" s="10" t="inlineStr">
        <is>
          <t>Testrapport en versielog</t>
        </is>
      </c>
      <c r="E8" s="10" t="inlineStr">
        <is>
          <t>Te doen</t>
        </is>
      </c>
      <c r="F8" s="10" t="n"/>
    </row>
    <row r="9" ht="25.5" customHeight="1" s="14">
      <c r="A9" s="9" t="n">
        <v>4</v>
      </c>
      <c r="B9" s="10" t="inlineStr">
        <is>
          <t>Certificering zorgverleners</t>
        </is>
      </c>
      <c r="C9" s="10" t="inlineStr">
        <is>
          <t>Minstens twee per centrum, dus twaalf of meer</t>
        </is>
      </c>
      <c r="D9" s="10" t="inlineStr">
        <is>
          <t>Certificatenregister in de Trial Master File</t>
        </is>
      </c>
      <c r="E9" s="10" t="inlineStr">
        <is>
          <t>Te doen</t>
        </is>
      </c>
      <c r="F9" s="10" t="n"/>
    </row>
    <row r="10">
      <c r="A10" s="9" t="n">
        <v>5</v>
      </c>
      <c r="B10" s="10" t="inlineStr">
        <is>
          <t>Pilootrapport</t>
        </is>
      </c>
      <c r="C10" s="10" t="inlineStr">
        <is>
          <t>Nul onopgeloste kritische knelpunten</t>
        </is>
      </c>
      <c r="D10" s="10" t="inlineStr">
        <is>
          <t>Pilootrapport v1.0</t>
        </is>
      </c>
      <c r="E10" s="10" t="inlineStr">
        <is>
          <t>Te doen</t>
        </is>
      </c>
      <c r="F10" s="10" t="n"/>
    </row>
    <row r="11">
      <c r="A11" s="9" t="n">
        <v>6</v>
      </c>
      <c r="B11" s="10" t="inlineStr">
        <is>
          <t>Meetbetrouwbaarheid</t>
        </is>
      </c>
      <c r="C11" s="10" t="inlineStr">
        <is>
          <t>ICC ≥ 0,80 in alle centra, of gepoold</t>
        </is>
      </c>
      <c r="D11" s="10" t="inlineStr">
        <is>
          <t>ICC-rapport</t>
        </is>
      </c>
      <c r="E11" s="10" t="inlineStr">
        <is>
          <t>Te doen</t>
        </is>
      </c>
      <c r="F11" s="10" t="inlineStr">
        <is>
          <t>Op welk toestel? — punt 22</t>
        </is>
      </c>
    </row>
    <row r="12" ht="25.5" customHeight="1" s="14">
      <c r="A12" s="9" t="n">
        <v>7</v>
      </c>
      <c r="B12" s="10" t="inlineStr">
        <is>
          <t>Methodevergelijking</t>
        </is>
      </c>
      <c r="C12" s="10" t="inlineStr">
        <is>
          <t>Overeenstemmingsgrenzen gekwantificeerd</t>
        </is>
      </c>
      <c r="D12" s="10" t="inlineStr">
        <is>
          <t>Bland-Altman-rapport</t>
        </is>
      </c>
      <c r="E12" s="10" t="inlineStr">
        <is>
          <t>Te doen</t>
        </is>
      </c>
      <c r="F12" s="10" t="inlineStr">
        <is>
          <t>Geen startvoorwaarde meer — punt 22</t>
        </is>
      </c>
    </row>
    <row r="14">
      <c r="A14" s="11" t="inlineStr">
        <is>
          <t>Site readiness — 10criteria, per centrum af te vinken</t>
        </is>
      </c>
    </row>
    <row r="15" ht="30" customHeight="1" s="14">
      <c r="A15" s="8" t="inlineStr">
        <is>
          <t>Nr</t>
        </is>
      </c>
      <c r="B15" s="8" t="inlineStr">
        <is>
          <t>Site readiness — negen criteria per centrum</t>
        </is>
      </c>
      <c r="C15" s="8" t="inlineStr">
        <is>
          <t>Categorie</t>
        </is>
      </c>
      <c r="D15" s="8" t="inlineStr">
        <is>
          <t>UZ Leuven</t>
        </is>
      </c>
      <c r="E15" s="8" t="inlineStr">
        <is>
          <t>UZ Antwerpen</t>
        </is>
      </c>
      <c r="F15" s="8" t="inlineStr">
        <is>
          <t>UZ Gent</t>
        </is>
      </c>
      <c r="G15" s="8" t="inlineStr">
        <is>
          <t>AZORG</t>
        </is>
      </c>
      <c r="H15" s="8" t="inlineStr">
        <is>
          <t>AZ Sint-Jan</t>
        </is>
      </c>
      <c r="I15" s="8" t="inlineStr">
        <is>
          <t>AZ Groeninge</t>
        </is>
      </c>
      <c r="J15" s="8" t="inlineStr">
        <is>
          <t>Status</t>
        </is>
      </c>
      <c r="K15" s="8" t="inlineStr">
        <is>
          <t>Opmerking</t>
        </is>
      </c>
    </row>
    <row r="16">
      <c r="A16" s="9" t="n">
        <v>1</v>
      </c>
      <c r="B16" s="10" t="inlineStr">
        <is>
          <t>Drukmeetsysteem operationeel, met kalibratietestrun</t>
        </is>
      </c>
      <c r="C16" s="9" t="inlineStr">
        <is>
          <t>Technologie</t>
        </is>
      </c>
      <c r="D16" s="9" t="n"/>
      <c r="E16" s="9" t="n"/>
      <c r="F16" s="9" t="n"/>
      <c r="G16" s="9" t="n"/>
      <c r="H16" s="9" t="n"/>
      <c r="I16" s="9" t="n"/>
      <c r="J16" s="9" t="inlineStr">
        <is>
          <t>Te doen</t>
        </is>
      </c>
      <c r="K16" s="9" t="n"/>
    </row>
    <row r="17">
      <c r="A17" s="9" t="n">
        <v>2</v>
      </c>
      <c r="B17" s="10" t="inlineStr">
        <is>
          <t>Minstens twee gecertificeerde zorgverleners</t>
        </is>
      </c>
      <c r="C17" s="9" t="inlineStr">
        <is>
          <t>Opleiding</t>
        </is>
      </c>
      <c r="D17" s="9" t="n"/>
      <c r="E17" s="9" t="n"/>
      <c r="F17" s="9" t="n"/>
      <c r="G17" s="9" t="n"/>
      <c r="H17" s="9" t="n"/>
      <c r="I17" s="9" t="n"/>
      <c r="J17" s="9" t="inlineStr">
        <is>
          <t>Te doen</t>
        </is>
      </c>
      <c r="K17" s="9" t="n"/>
    </row>
    <row r="18">
      <c r="A18" s="9" t="n">
        <v>3</v>
      </c>
      <c r="B18" s="10" t="inlineStr">
        <is>
          <t>Databankaccount actief, testlogin geslaagd</t>
        </is>
      </c>
      <c r="C18" s="9" t="inlineStr">
        <is>
          <t>Data</t>
        </is>
      </c>
      <c r="D18" s="9" t="n"/>
      <c r="E18" s="9" t="n"/>
      <c r="F18" s="9" t="n"/>
      <c r="G18" s="9" t="n"/>
      <c r="H18" s="9" t="n"/>
      <c r="I18" s="9" t="n"/>
      <c r="J18" s="9" t="inlineStr">
        <is>
          <t>Te doen</t>
        </is>
      </c>
      <c r="K18" s="9" t="n"/>
    </row>
    <row r="19">
      <c r="A19" s="9" t="n">
        <v>4</v>
      </c>
      <c r="B19" s="10" t="inlineStr">
        <is>
          <t>Lokale ethische goedkeuring ontvangen</t>
        </is>
      </c>
      <c r="C19" s="9" t="inlineStr">
        <is>
          <t>Ethiek</t>
        </is>
      </c>
      <c r="D19" s="9" t="n"/>
      <c r="E19" s="9" t="n"/>
      <c r="F19" s="9" t="n"/>
      <c r="G19" s="9" t="n"/>
      <c r="H19" s="9" t="n"/>
      <c r="I19" s="9" t="n"/>
      <c r="J19" s="9" t="inlineStr">
        <is>
          <t>Te doen</t>
        </is>
      </c>
      <c r="K19" s="9" t="n"/>
    </row>
    <row r="20">
      <c r="A20" s="9" t="n">
        <v>5</v>
      </c>
      <c r="B20" s="10" t="inlineStr">
        <is>
          <t>Orthotimer-sensoren, lezer en software aanwezig</t>
        </is>
      </c>
      <c r="C20" s="9" t="inlineStr">
        <is>
          <t>Technologie</t>
        </is>
      </c>
      <c r="D20" s="9" t="n"/>
      <c r="E20" s="9" t="n"/>
      <c r="F20" s="9" t="n"/>
      <c r="G20" s="9" t="n"/>
      <c r="H20" s="9" t="n"/>
      <c r="I20" s="9" t="n"/>
      <c r="J20" s="9" t="inlineStr">
        <is>
          <t>Te doen</t>
        </is>
      </c>
      <c r="K20" s="9" t="n"/>
    </row>
    <row r="21">
      <c r="A21" s="9" t="n">
        <v>6</v>
      </c>
      <c r="B21" s="10" t="inlineStr">
        <is>
          <t>MoveMonitor aanwezig, uitgifte- en retourprotocol bekend</t>
        </is>
      </c>
      <c r="C21" s="9" t="inlineStr">
        <is>
          <t>Technologie</t>
        </is>
      </c>
      <c r="D21" s="9" t="n"/>
      <c r="E21" s="9" t="n"/>
      <c r="F21" s="9" t="n"/>
      <c r="G21" s="9" t="n"/>
      <c r="H21" s="9" t="n"/>
      <c r="I21" s="9" t="n"/>
      <c r="J21" s="9" t="inlineStr">
        <is>
          <t>Te doen</t>
        </is>
      </c>
      <c r="K21" s="9" t="n"/>
    </row>
    <row r="22">
      <c r="A22" s="9" t="n">
        <v>7</v>
      </c>
      <c r="B22" s="10" t="inlineStr">
        <is>
          <t>Minstens tien sets van het assessment booklet</t>
        </is>
      </c>
      <c r="C22" s="9" t="inlineStr">
        <is>
          <t>Klinisch</t>
        </is>
      </c>
      <c r="D22" s="9" t="n"/>
      <c r="E22" s="9" t="n"/>
      <c r="F22" s="9" t="n"/>
      <c r="G22" s="9" t="n"/>
      <c r="H22" s="9" t="n"/>
      <c r="I22" s="9" t="n"/>
      <c r="J22" s="9" t="inlineStr">
        <is>
          <t>Te doen</t>
        </is>
      </c>
      <c r="K22" s="9" t="n"/>
    </row>
    <row r="23">
      <c r="A23" s="9" t="n">
        <v>8</v>
      </c>
      <c r="B23" s="10" t="inlineStr">
        <is>
          <t>Loopruimte van minstens tien meter</t>
        </is>
      </c>
      <c r="C23" s="9" t="inlineStr">
        <is>
          <t>Infrastructuur</t>
        </is>
      </c>
      <c r="D23" s="9" t="n"/>
      <c r="E23" s="9" t="n"/>
      <c r="F23" s="9" t="n"/>
      <c r="G23" s="9" t="n"/>
      <c r="H23" s="9" t="n"/>
      <c r="I23" s="9" t="n"/>
      <c r="J23" s="9" t="inlineStr">
        <is>
          <t>Te doen</t>
        </is>
      </c>
      <c r="K23" s="9" t="n"/>
    </row>
    <row r="24">
      <c r="A24" s="9" t="n">
        <v>9</v>
      </c>
      <c r="B24" s="10" t="inlineStr">
        <is>
          <t>Back-upzorgverlener met naam en contact</t>
        </is>
      </c>
      <c r="C24" s="9" t="inlineStr">
        <is>
          <t>Organisatie</t>
        </is>
      </c>
      <c r="D24" s="9" t="n"/>
      <c r="E24" s="9" t="n"/>
      <c r="F24" s="9" t="n"/>
      <c r="G24" s="9" t="n"/>
      <c r="H24" s="9" t="n"/>
      <c r="I24" s="9" t="n"/>
      <c r="J24" s="9" t="inlineStr">
        <is>
          <t>Te doen</t>
        </is>
      </c>
      <c r="K24" s="9" t="n"/>
    </row>
    <row r="25">
      <c r="A25" s="12" t="n">
        <v>10</v>
      </c>
      <c r="B25" s="10" t="inlineStr">
        <is>
          <t>Novel Pedar, database en software aanwezig</t>
        </is>
      </c>
      <c r="C25" s="9" t="inlineStr">
        <is>
          <t>Technologie</t>
        </is>
      </c>
      <c r="J25" s="9" t="inlineStr">
        <is>
          <t>Te doen</t>
        </is>
      </c>
    </row>
  </sheetData>
  <autoFilter ref="A4:F12"/>
  <mergeCells count="3">
    <mergeCell ref="A2:F2"/>
    <mergeCell ref="A1:F1"/>
    <mergeCell ref="A5:F5"/>
  </mergeCells>
  <conditionalFormatting sqref="D16:I24">
    <cfRule type="cellIs" priority="5" operator="equal" dxfId="3">
      <formula>"ja"</formula>
    </cfRule>
    <cfRule type="cellIs" priority="6" operator="equal" dxfId="8">
      <formula>"nee"</formula>
    </cfRule>
  </conditionalFormatting>
  <conditionalFormatting sqref="E5:E12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3">
    <dataValidation sqref="E5:E12" showDropDown="0" showInputMessage="0" showErrorMessage="0" allowBlank="1" errorTitle="Ongeldige status" error="Kies een status uit de lijst." type="list">
      <formula1>"Te doen,Bezig,Klaar,Geblokkeerd,Vervalt"</formula1>
    </dataValidation>
    <dataValidation sqref="D16:I24" showDropDown="0" showInputMessage="0" showErrorMessage="0" allowBlank="1" type="list">
      <formula1>"ja,nee,n.v.t."</formula1>
    </dataValidation>
    <dataValidation sqref="J16:J25" showDropDown="0" showInputMessage="0" showErrorMessage="0" allowBlank="1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tabSelected="1" workbookViewId="0">
      <pane ySplit="4" topLeftCell="A5" activePane="bottomLeft" state="frozen"/>
      <selection pane="bottomLeft" activeCell="J21" sqref="J21"/>
    </sheetView>
  </sheetViews>
  <sheetFormatPr baseColWidth="8" defaultRowHeight="15"/>
  <cols>
    <col width="7" customWidth="1" style="14" min="1" max="1"/>
    <col width="46" customWidth="1" style="14" min="2" max="2"/>
    <col width="12" customWidth="1" style="14" min="3" max="3"/>
    <col width="20" customWidth="1" style="14" min="4" max="5"/>
    <col width="13" customWidth="1" style="14" min="6" max="6"/>
    <col width="30" customWidth="1" style="14" min="7" max="7"/>
  </cols>
  <sheetData>
    <row r="1" ht="18.75" customHeight="1" s="14">
      <c r="A1" s="15" t="inlineStr">
        <is>
          <t>Mijlpalen</t>
        </is>
      </c>
    </row>
    <row r="2">
      <c r="A2" s="18" t="inlineStr">
        <is>
          <t>De zeven mijlpalen die aan werkpakket 1 hangen. MS7 en MS8 horen bij WP2 en WP3.</t>
        </is>
      </c>
    </row>
    <row r="4" ht="26.1" customHeight="1" s="14">
      <c r="A4" s="8" t="inlineStr">
        <is>
          <t>MS</t>
        </is>
      </c>
      <c r="B4" s="8" t="inlineStr">
        <is>
          <t>Wat</t>
        </is>
      </c>
      <c r="C4" s="8" t="inlineStr">
        <is>
          <t>Uit taak</t>
        </is>
      </c>
      <c r="D4" s="8" t="inlineStr">
        <is>
          <t>FWO-planning</t>
        </is>
      </c>
      <c r="E4" s="8" t="inlineStr">
        <is>
          <t>Volgens protocol</t>
        </is>
      </c>
      <c r="F4" s="8" t="inlineStr">
        <is>
          <t>Status</t>
        </is>
      </c>
      <c r="G4" s="8" t="inlineStr">
        <is>
          <t>Opmerking</t>
        </is>
      </c>
    </row>
    <row r="5">
      <c r="A5" s="9" t="inlineStr">
        <is>
          <t>MS1</t>
        </is>
      </c>
      <c r="B5" s="10" t="inlineStr">
        <is>
          <t>Boekjes en protocollen gemaakt</t>
        </is>
      </c>
      <c r="C5" s="10" t="inlineStr">
        <is>
          <t>1.2, 1.3</t>
        </is>
      </c>
      <c r="D5" s="10" t="inlineStr">
        <is>
          <t>M6 · feb 27</t>
        </is>
      </c>
      <c r="E5" s="10" t="inlineStr">
        <is>
          <t>idem</t>
        </is>
      </c>
      <c r="F5" s="10" t="inlineStr">
        <is>
          <t>Te doen</t>
        </is>
      </c>
      <c r="G5" s="10" t="n"/>
    </row>
    <row r="6">
      <c r="A6" s="9" t="inlineStr">
        <is>
          <t>MS2</t>
        </is>
      </c>
      <c r="B6" s="10" t="inlineStr">
        <is>
          <t>Gunstige ethische beoordeling verkregen</t>
        </is>
      </c>
      <c r="C6" s="10" t="inlineStr">
        <is>
          <t>1.1</t>
        </is>
      </c>
      <c r="D6" s="10" t="inlineStr">
        <is>
          <t>M6 · feb 27</t>
        </is>
      </c>
      <c r="E6" s="10" t="inlineStr">
        <is>
          <t>idem</t>
        </is>
      </c>
      <c r="F6" s="10" t="inlineStr">
        <is>
          <t>Te doen</t>
        </is>
      </c>
      <c r="G6" s="10" t="n"/>
    </row>
    <row r="7">
      <c r="A7" s="9" t="inlineStr">
        <is>
          <t>MS3</t>
        </is>
      </c>
      <c r="B7" s="10" t="inlineStr">
        <is>
          <t>Piloot en dataverzameling geslaagd</t>
        </is>
      </c>
      <c r="C7" s="10" t="inlineStr">
        <is>
          <t>1.5</t>
        </is>
      </c>
      <c r="D7" s="10" t="inlineStr">
        <is>
          <t>M6 · feb 27</t>
        </is>
      </c>
      <c r="E7" s="10" t="inlineStr">
        <is>
          <t>idem</t>
        </is>
      </c>
      <c r="F7" s="10" t="inlineStr">
        <is>
          <t>Te doen</t>
        </is>
      </c>
      <c r="G7" s="10" t="n"/>
    </row>
    <row r="8">
      <c r="A8" s="9" t="inlineStr">
        <is>
          <t>MS4</t>
        </is>
      </c>
      <c r="B8" s="10" t="inlineStr">
        <is>
          <t>144 gerekruteerd en gerandomiseerd</t>
        </is>
      </c>
      <c r="C8" s="10" t="inlineStr">
        <is>
          <t>1.6</t>
        </is>
      </c>
      <c r="D8" s="10" t="inlineStr">
        <is>
          <t>M24 · aug 28</t>
        </is>
      </c>
      <c r="E8" s="10" t="inlineStr">
        <is>
          <t>M18 · feb 28</t>
        </is>
      </c>
      <c r="F8" s="10" t="inlineStr">
        <is>
          <t>Te doen</t>
        </is>
      </c>
      <c r="G8" s="10" t="n"/>
    </row>
    <row r="9">
      <c r="A9" s="9" t="inlineStr">
        <is>
          <t>MS5</t>
        </is>
      </c>
      <c r="B9" s="10" t="inlineStr">
        <is>
          <t>Optimal en Usual Care geleverd</t>
        </is>
      </c>
      <c r="C9" s="10" t="inlineStr">
        <is>
          <t>1.7</t>
        </is>
      </c>
      <c r="D9" s="10" t="inlineStr">
        <is>
          <t>M42 · feb 30</t>
        </is>
      </c>
      <c r="E9" s="10" t="inlineStr">
        <is>
          <t>M37 · sep 29</t>
        </is>
      </c>
      <c r="F9" s="10" t="inlineStr">
        <is>
          <t>Te doen</t>
        </is>
      </c>
      <c r="G9" s="10" t="n"/>
    </row>
    <row r="10">
      <c r="A10" s="9" t="inlineStr">
        <is>
          <t>MS6</t>
        </is>
      </c>
      <c r="B10" s="10" t="inlineStr">
        <is>
          <t>Opvolgbeoordelingen afgerond</t>
        </is>
      </c>
      <c r="C10" s="10" t="inlineStr">
        <is>
          <t>1.7</t>
        </is>
      </c>
      <c r="D10" s="10" t="inlineStr">
        <is>
          <t>M42 · feb 30</t>
        </is>
      </c>
      <c r="E10" s="10" t="inlineStr">
        <is>
          <t>M37 · sep 29</t>
        </is>
      </c>
      <c r="F10" s="10" t="inlineStr">
        <is>
          <t>Te doen</t>
        </is>
      </c>
      <c r="G10" s="10" t="n"/>
    </row>
    <row r="11">
      <c r="A11" s="9" t="inlineStr">
        <is>
          <t>MS9</t>
        </is>
      </c>
      <c r="B11" s="10" t="inlineStr">
        <is>
          <t>Rapport klinische effectiviteit</t>
        </is>
      </c>
      <c r="C11" s="10" t="inlineStr">
        <is>
          <t>1.8</t>
        </is>
      </c>
      <c r="D11" s="10" t="inlineStr">
        <is>
          <t>M48 · aug 30</t>
        </is>
      </c>
      <c r="E11" s="10" t="inlineStr">
        <is>
          <t>idem</t>
        </is>
      </c>
      <c r="F11" s="10" t="inlineStr">
        <is>
          <t>Te doen</t>
        </is>
      </c>
      <c r="G11" s="10" t="n"/>
    </row>
  </sheetData>
  <autoFilter ref="A4:G11"/>
  <mergeCells count="2">
    <mergeCell ref="A2:G2"/>
    <mergeCell ref="A1:G1"/>
  </mergeCells>
  <conditionalFormatting sqref="F5:F11">
    <cfRule type="cellIs" priority="1" operator="equal" dxfId="3">
      <formula>"Klaar"</formula>
    </cfRule>
    <cfRule type="cellIs" priority="2" operator="equal" dxfId="2">
      <formula>"Bezig"</formula>
    </cfRule>
    <cfRule type="cellIs" priority="3" operator="equal" dxfId="1">
      <formula>"Geblokkeerd"</formula>
    </cfRule>
    <cfRule type="cellIs" priority="4" operator="equal" dxfId="0">
      <formula>"Vervalt"</formula>
    </cfRule>
  </conditionalFormatting>
  <dataValidations count="1">
    <dataValidation sqref="F5:F11" showDropDown="0" showInputMessage="0" showErrorMessage="0" allowBlank="1" errorTitle="Ongeldige status" error="Kies een status uit de lijst." type="list">
      <formula1>"Te doen,Bezig,Klaar,Geblokkeerd,Vervalt"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2026-09-10T09:34:37Z</dcterms:created>
  <dcterms:modified xmlns:dcterms="http://purl.org/dc/terms/" xmlns:xsi="http://www.w3.org/2001/XMLSchema-instance" xsi:type="dcterms:W3CDTF">2026-09-11T05:17:10Z</dcterms:modified>
  <cp:lastModifiedBy>Janou De Buyser</cp:lastModifiedBy>
</cp:coreProperties>
</file>
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kuleuven-my.sharepoint.com/personal/janou_debuyser_kuleuven_be1/Documents/Documents/PhD Brugge/Site/"/>
    </mc:Choice>
  </mc:AlternateContent>
  <xr:revisionPtr revIDLastSave="0" documentId="11_CA7B6B5EEB78714D22F693AA747296586F86DCC0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zicht" sheetId="1" r:id="rId1"/>
    <sheet name="Taken" sheetId="2" r:id="rId2"/>
    <sheet name="Openstaande punten" sheetId="3" r:id="rId3"/>
    <sheet name="Go-NoGo" sheetId="4" r:id="rId4"/>
    <sheet name="Manuscriptpakket" sheetId="5" r:id="rId5"/>
    <sheet name="Mijlpalen" sheetId="6" r:id="rId6"/>
  </sheets>
  <definedNames>
    <definedName name="_xlnm._FilterDatabase" localSheetId="3" hidden="1">'Go-NoGo'!$A$4:$F$12</definedName>
    <definedName name="_xlnm._FilterDatabase" localSheetId="4" hidden="1">Manuscriptpakket!$A$4:$F$32</definedName>
    <definedName name="_xlnm._FilterDatabase" localSheetId="5" hidden="1">Mijlpalen!$A$4:$G$11</definedName>
    <definedName name="_xlnm._FilterDatabase" localSheetId="2" hidden="1">'Openstaande punten'!$A$4:$G$32</definedName>
    <definedName name="_xlnm._FilterDatabase" localSheetId="1" hidden="1">Taken!$A$4:$I$80</definedName>
    <definedName name="_xlnm.Print_Titles" localSheetId="3">'Go-NoGo'!$4:$4</definedName>
    <definedName name="_xlnm.Print_Titles" localSheetId="4">Manuscriptpakket!$4:$4</definedName>
    <definedName name="_xlnm.Print_Titles" localSheetId="5">Mijlpalen!$4:$4</definedName>
    <definedName name="_xlnm.Print_Titles" localSheetId="2">'Openstaande punten'!$4:$4</definedName>
    <definedName name="_xlnm.Print_Titles" localSheetId="1">Taken!$4:$4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E11" i="1"/>
  <c r="D11" i="1"/>
  <c r="C11" i="1"/>
  <c r="B11" i="1"/>
  <c r="G10" i="1"/>
  <c r="F10" i="1"/>
  <c r="E10" i="1"/>
  <c r="D10" i="1"/>
  <c r="C10" i="1"/>
  <c r="B10" i="1"/>
  <c r="G9" i="1"/>
  <c r="F9" i="1"/>
  <c r="E9" i="1"/>
  <c r="D9" i="1"/>
  <c r="C9" i="1"/>
  <c r="B9" i="1"/>
  <c r="G8" i="1"/>
  <c r="F8" i="1"/>
  <c r="E8" i="1"/>
  <c r="D8" i="1"/>
  <c r="C8" i="1"/>
  <c r="B8" i="1"/>
  <c r="H8" i="1" s="1"/>
  <c r="G7" i="1"/>
  <c r="F7" i="1"/>
  <c r="F12" i="1" s="1"/>
  <c r="E7" i="1"/>
  <c r="D7" i="1"/>
  <c r="D12" i="1" s="1"/>
  <c r="C7" i="1"/>
  <c r="C12" i="1" s="1"/>
  <c r="B7" i="1"/>
  <c r="B12" i="1" s="1"/>
  <c r="G12" i="1" l="1"/>
  <c r="H7" i="1"/>
  <c r="H11" i="1"/>
  <c r="H10" i="1"/>
  <c r="H9" i="1"/>
  <c r="E12" i="1"/>
  <c r="H12" i="1" s="1"/>
</calcChain>
</file>

<file path=xl/sharedStrings.xml><?xml version="1.0" encoding="utf-8"?>
<sst xmlns="http://schemas.openxmlformats.org/spreadsheetml/2006/main" count="1033" uniqueCount="644">
  <si>
    <t>PARADISE — werkpakket 1</t>
  </si>
  <si>
    <t>Afvinklijst · opgesteld 10 september 2026</t>
  </si>
  <si>
    <t>Zet de status in de kolom Status; de tellingen hieronder volgen vanzelf. Elk blad heeft een filter op de kopregel.</t>
  </si>
  <si>
    <t>Blad</t>
  </si>
  <si>
    <t>Totaal</t>
  </si>
  <si>
    <t>Te doen</t>
  </si>
  <si>
    <t>Bezig</t>
  </si>
  <si>
    <t>Klaar</t>
  </si>
  <si>
    <t>Geblokkeerd</t>
  </si>
  <si>
    <t>Vervalt</t>
  </si>
  <si>
    <t>Klaar (%)</t>
  </si>
  <si>
    <t>Taken</t>
  </si>
  <si>
    <t>Openstaande punten</t>
  </si>
  <si>
    <t>Go-NoGo</t>
  </si>
  <si>
    <t>Manuscriptpakket</t>
  </si>
  <si>
    <t>Mijlpalen</t>
  </si>
  <si>
    <t>Alles samen</t>
  </si>
  <si>
    <t>Statuswaarden: Te doen · Bezig · Klaar · Geblokkeerd · Vervalt</t>
  </si>
  <si>
    <t>Bron: werkpakket1-tijdlijn.html en PARADISE_BRONNEN.md. Wijzigt er iets aan de studieopzet, pas het daar eerst aan.</t>
  </si>
  <si>
    <t>Werkpakket 1 — taken en deelactiviteiten</t>
  </si>
  <si>
    <t>De acht taken uit de FWO-aanvraag, met de deelactiviteiten uit het operationele draaiboek. Maanden geteld vanaf september 2026.</t>
  </si>
  <si>
    <t>Nr</t>
  </si>
  <si>
    <t>Taak</t>
  </si>
  <si>
    <t>Wat er moet gebeuren</t>
  </si>
  <si>
    <t>Maanden</t>
  </si>
  <si>
    <t>Kalender</t>
  </si>
  <si>
    <t>Deliverable</t>
  </si>
  <si>
    <t>Wie</t>
  </si>
  <si>
    <t>Status</t>
  </si>
  <si>
    <t>Opmerking</t>
  </si>
  <si>
    <t>Taak 1.1 — Ethische indiening en registratie · M1–5 · D1.1 · kritisch pad</t>
  </si>
  <si>
    <t>1.1a</t>
  </si>
  <si>
    <t>Centrale indiening</t>
  </si>
  <si>
    <t>Clinical investigation plan, toestemmingsformulieren, patiëntmateriaal en investigator's brochure indienen bij EC UZ Leuven, het FAGG en de zes lokale commissies</t>
  </si>
  <si>
    <t>1–2</t>
  </si>
  <si>
    <t>sep – okt 26</t>
  </si>
  <si>
    <t>D1.1</t>
  </si>
  <si>
    <t>PhD-A + Deschamps</t>
  </si>
  <si>
    <t>1.1b</t>
  </si>
  <si>
    <t>Toestemmingsformulieren</t>
  </si>
  <si>
    <t>Nederlands op maximaal B1-niveau, met GDPR-clausules; ook de deelnemende therapeuten tekenen</t>
  </si>
  <si>
    <t>PhD-A</t>
  </si>
  <si>
    <t>Bijlage 3 samengesteld op 10 sep</t>
  </si>
  <si>
    <t>1.1c</t>
  </si>
  <si>
    <t>Verzekering</t>
  </si>
  <si>
    <t>Foutloze aansprakelijkheid van de sponsor volgens de wet van 7 mei 2004, gedekt via polis</t>
  </si>
  <si>
    <t>KU Leuven rechtsdienst</t>
  </si>
  <si>
    <t>1.1d</t>
  </si>
  <si>
    <t>Wettelijk kader vastleggen</t>
  </si>
  <si>
    <t>ISO 14155:2020 · Verordening 2017/745 · Verordening 2016/679 · wet 22 dec 2020 · KB 18 mei 2021 · wet 22 aug 2002 · Helsinki · ICH-GCP E6(R3)</t>
  </si>
  <si>
    <t>1</t>
  </si>
  <si>
    <t>sep 26</t>
  </si>
  <si>
    <t>1.1e</t>
  </si>
  <si>
    <t>Monitoringopzet laten bevestigen</t>
  </si>
  <si>
    <t>Het coördinerende comité moet de opzet en de verenigbaarheid met ISO 14155 en ICH-GCP E6 bevestigen vóór de indiening</t>
  </si>
  <si>
    <t>Coördinerend comité</t>
  </si>
  <si>
    <t>Openstaand punt 25</t>
  </si>
  <si>
    <t>1.1f</t>
  </si>
  <si>
    <t>Zes lokale goedkeuringen</t>
  </si>
  <si>
    <t>Per centrum indienen na de centrale beslissing, binnen dertig dagen</t>
  </si>
  <si>
    <t>2–5</t>
  </si>
  <si>
    <t>okt 26 – jan 27</t>
  </si>
  <si>
    <t>PhD-A + site-PI</t>
  </si>
  <si>
    <t>1.1g</t>
  </si>
  <si>
    <t>Site Agreements</t>
  </si>
  <si>
    <t>Per ziekenhuis, opgesteld met de juridische dienst</t>
  </si>
  <si>
    <t>KU Leuven juridisch</t>
  </si>
  <si>
    <t>1.1h</t>
  </si>
  <si>
    <t>Subsidiecontracten</t>
  </si>
  <si>
    <t>KU Leuven met elk partnerziekenhuis</t>
  </si>
  <si>
    <t>KU Leuven</t>
  </si>
  <si>
    <t>1.1i</t>
  </si>
  <si>
    <t>Studieregistratie</t>
  </si>
  <si>
    <t>ClinicalTrials.gov en BELCRI, vóór de eerste deelnemer. Vult meteen drie blanco velden in het manuscript</t>
  </si>
  <si>
    <t>2</t>
  </si>
  <si>
    <t>okt 26</t>
  </si>
  <si>
    <t>Openstaand punt 21</t>
  </si>
  <si>
    <t>1.1j</t>
  </si>
  <si>
    <t>Verwerkersovereenkomsten</t>
  </si>
  <si>
    <t>Per centrum, plus aanmelding bij de DPO en een datastroomdiagram</t>
  </si>
  <si>
    <t>2–3</t>
  </si>
  <si>
    <t>okt – nov 26</t>
  </si>
  <si>
    <t>DPO + PhD-A</t>
  </si>
  <si>
    <t>1.1k</t>
  </si>
  <si>
    <t>Bewaartermijn vastleggen</t>
  </si>
  <si>
    <t>Tien of vijftien jaar — de twee manuscriptversies spreken elkaar tegen</t>
  </si>
  <si>
    <t>Openstaand punt 10</t>
  </si>
  <si>
    <t>Taak 1.2 — Assessment booklet · M1–5 · D1.2 · MS1</t>
  </si>
  <si>
    <t>1.2a</t>
  </si>
  <si>
    <t>Gebruiksrechten instrumenten</t>
  </si>
  <si>
    <t>NAFF, HLS-EU-6, EQ-5D-5L (licentie EuroQol), iMCQ en iPCQ (iMTA), MOS-revised, slijtageschaal — met copyright-log</t>
  </si>
  <si>
    <t>D1.2</t>
  </si>
  <si>
    <t>1.2b</t>
  </si>
  <si>
    <t>CRF-set</t>
  </si>
  <si>
    <t>Volgens tabel 2 van het manuscript; papieren bronformulieren, daarna overzetten naar het elektronische CRF</t>
  </si>
  <si>
    <t>2–4</t>
  </si>
  <si>
    <t>okt – dec 26</t>
  </si>
  <si>
    <t>PhD-A + PhD-B</t>
  </si>
  <si>
    <t>1.2c</t>
  </si>
  <si>
    <t>Folder dagelijkse voetzorg</t>
  </si>
  <si>
    <t>Het document dat de patiënt mee naar huis krijgt</t>
  </si>
  <si>
    <t>48_Voetzorgfolder bestaat</t>
  </si>
  <si>
    <t>1.2d</t>
  </si>
  <si>
    <t>Educatiekaart schoeisel</t>
  </si>
  <si>
    <t>Binnen én buiten dragen, visueel schema</t>
  </si>
  <si>
    <t>1.2e</t>
  </si>
  <si>
    <t>Uitlegfiche Orthotimer</t>
  </si>
  <si>
    <t>Framing als 'uw sensor': enkel temperatuur, geen GPS, geluid of camera</t>
  </si>
  <si>
    <t>1.2f</t>
  </si>
  <si>
    <t>Feedbacksjabloon therapietrouw</t>
  </si>
  <si>
    <t>Visuele weergave van de sensordata voor stap 3 en 4</t>
  </si>
  <si>
    <t>1.2g</t>
  </si>
  <si>
    <t>Leesbaarheidstest</t>
  </si>
  <si>
    <t>Maximaal B1-niveau, bij drie pilootpatiënten</t>
  </si>
  <si>
    <t>4</t>
  </si>
  <si>
    <t>dec 26</t>
  </si>
  <si>
    <t>PhD-A + Diabetes Liga</t>
  </si>
  <si>
    <t>1.2h</t>
  </si>
  <si>
    <t>Consensusvergadering</t>
  </si>
  <si>
    <t>Pre-read twee weken vooraf, per instrument een kwartier, ondertekende notulen</t>
  </si>
  <si>
    <t>Deschamps + partners</t>
  </si>
  <si>
    <t>Levert MS1</t>
  </si>
  <si>
    <t>Taak 1.3 — Protocollen voor Usual en Optimal Care · M1–5 · D1.3</t>
  </si>
  <si>
    <t>SOP-1</t>
  </si>
  <si>
    <t>Voetscreening en IWGDF-classificatie</t>
  </si>
  <si>
    <t>Onderzoeksvolgorde, afkappunten, fotografieprotocol, beslisboom, inter-rater reliability κ ≥ 0,80</t>
  </si>
  <si>
    <t>D1.3</t>
  </si>
  <si>
    <t>PhD-A + podoloog</t>
  </si>
  <si>
    <t>SOP-2</t>
  </si>
  <si>
    <t>Plantaire drukmeting</t>
  </si>
  <si>
    <t>Pedar als klinisch toestel met trublu-kalibratie; F-Scan GO alleen studieteam; acht regio's; norm &lt; 200 kPa óf ≥ 25% reductie; behaalde reductie als fidelity-maat</t>
  </si>
  <si>
    <t>PhD-A + technoloog</t>
  </si>
  <si>
    <t>Werkinstructie pedar ontbreekt — punt 16</t>
  </si>
  <si>
    <t>SOP-3</t>
  </si>
  <si>
    <t>Schoeisel, CMFO en Orthotimer</t>
  </si>
  <si>
    <t>Opbouw per schoentype, mediale steun 3-5 mm, metatarsaalbalk 9-10 mm, deklaag, pasvorm binnen én buiten met fotodocumentatie</t>
  </si>
  <si>
    <t>Pedorthist + PhD-A</t>
  </si>
  <si>
    <t>Eén of twee paren? — punt 9</t>
  </si>
  <si>
    <t>SOP-4</t>
  </si>
  <si>
    <t>Uitlezen en therapietrouwnorm</t>
  </si>
  <si>
    <t>Waaktijd als noemer, 80% als responderdrempel, tussenresultaat tonen in uren</t>
  </si>
  <si>
    <t>3</t>
  </si>
  <si>
    <t>nov 26</t>
  </si>
  <si>
    <t>PhD-A + statisticus</t>
  </si>
  <si>
    <t>SOP-5</t>
  </si>
  <si>
    <t>SEBIA — vijf stappen</t>
  </si>
  <si>
    <t>Stap 1 baseline, 2 op visite 2, 3 op maand 6 en 12, 4 op maand 9 en 15, 5 op maand 18</t>
  </si>
  <si>
    <t>PhD-A + Dobbels</t>
  </si>
  <si>
    <t>SOP-6</t>
  </si>
  <si>
    <t>Ulcusdetectie en documentatie</t>
  </si>
  <si>
    <t>Zie taak 1.4</t>
  </si>
  <si>
    <t>D1.4</t>
  </si>
  <si>
    <t>PhD-A + arts</t>
  </si>
  <si>
    <t>SOP-7</t>
  </si>
  <si>
    <t>Randomisatie en blindering</t>
  </si>
  <si>
    <t>Identieke enveloppen, door elkaar gestoken; openen pas na geschiktheid, toestemming en baselinemetingen; documenteren met datum, uur en code</t>
  </si>
  <si>
    <t>Methode nog nergens beschreven — punt 2</t>
  </si>
  <si>
    <t>SOP-8</t>
  </si>
  <si>
    <t>Databeheer en monitoring</t>
  </si>
  <si>
    <t>Rollen, wekelijks querymanagement, afwijkingenlog, dagelijkse back-up, risicogebaseerd monitoringplan</t>
  </si>
  <si>
    <t>3–4</t>
  </si>
  <si>
    <t>nov – dec 26</t>
  </si>
  <si>
    <t>PhD-A + monitor</t>
  </si>
  <si>
    <t>Taak 1.4 — Ulcusprotocol · M1–5 · D1.4 · draagt het primaire eindpunt</t>
  </si>
  <si>
    <t>1.4a</t>
  </si>
  <si>
    <t>Definitie en afbakening</t>
  </si>
  <si>
    <t>IWGDF-definitie; wrijvingsletsels aan laterale of dorsale voet binnen drie weken na nieuw schoeisel tellen niet mee</t>
  </si>
  <si>
    <t>1.4b</t>
  </si>
  <si>
    <t>Meldings- en documentatieroute</t>
  </si>
  <si>
    <t>Onmiddellijk aan de investigator; foto's, debridement, PEDIS en WIfI; geanonimiseerd naar een beveiligd platform</t>
  </si>
  <si>
    <t>1.4c</t>
  </si>
  <si>
    <t>Fotoplatform regelen</t>
  </si>
  <si>
    <t>Keuze, gegevensbeschermingsbeoordeling, één aangeduide arts per centrum, één testcasus doorlopen</t>
  </si>
  <si>
    <t>PhD-A + DPO</t>
  </si>
  <si>
    <t>Langste doorlooptijd buiten eigen controle</t>
  </si>
  <si>
    <t>1.4d</t>
  </si>
  <si>
    <t>Beslissen wie het ulcus vaststelt</t>
  </si>
  <si>
    <t>Onafhankelijke geblindeerde commissie, of het multidisciplinaire team dat nu in het manuscript staat</t>
  </si>
  <si>
    <t>Deschamps + PhD-A</t>
  </si>
  <si>
    <t>Openstaand punt 1 — eerst doen</t>
  </si>
  <si>
    <t>1.4e</t>
  </si>
  <si>
    <t>Beoordelaars werven</t>
  </si>
  <si>
    <t>Alleen nodig als het een onafhankelijke commissie wordt: artsen van buiten de zes centra</t>
  </si>
  <si>
    <t>1–3</t>
  </si>
  <si>
    <t>sep – nov 26</t>
  </si>
  <si>
    <t>Deschamps</t>
  </si>
  <si>
    <t>Wacht op 1.4d</t>
  </si>
  <si>
    <t>1.4f</t>
  </si>
  <si>
    <t>AE- en SAE-procedure</t>
  </si>
  <si>
    <t>Registratie bij elke visite; sponsor binnen 72 u, EC en FAGG binnen 7 of 15 dagen</t>
  </si>
  <si>
    <t>Parallel — drie sporen zonder taaknummer, wel in de Go-criteria</t>
  </si>
  <si>
    <t>P-A1</t>
  </si>
  <si>
    <t>Drukmeetsystemen</t>
  </si>
  <si>
    <t>Bestellen (levertijd zes tot acht weken), installeren, servicecontract, reserveonderdelen en kalibratiemateriaal</t>
  </si>
  <si>
    <t>—</t>
  </si>
  <si>
    <t>KU Leuven admin</t>
  </si>
  <si>
    <t>Bestellen in week 2</t>
  </si>
  <si>
    <t>P-A2</t>
  </si>
  <si>
    <t>Inter-rater reliability</t>
  </si>
  <si>
    <t>Twee operatoren, minstens vijftien personen per centrum, doel ICC ≥ 0,80, ook op vervormde voeten</t>
  </si>
  <si>
    <t>Op welk toestel? — punt 22</t>
  </si>
  <si>
    <t>P-A3</t>
  </si>
  <si>
    <t>Orthotimer en MoveMonitor</t>
  </si>
  <si>
    <t>Sensoren, uitleessoftware, serienummerregister, uitgifte- en retourformulier, instructiekaart</t>
  </si>
  <si>
    <t>Aantal hangt af van punt 9</t>
  </si>
  <si>
    <t>P-A4</t>
  </si>
  <si>
    <t>Databank bouwen</t>
  </si>
  <si>
    <t>Screening, baseline, zes opvolgtijdstippen, eventformulieren, randomisatie, afwijkingenlog, procesevaluatie</t>
  </si>
  <si>
    <t>1–5</t>
  </si>
  <si>
    <t>sep 26 – jan 27</t>
  </si>
  <si>
    <t>PhD-A + Research IT</t>
  </si>
  <si>
    <t>P-A5</t>
  </si>
  <si>
    <t>Acceptatietest en versie-lock</t>
  </si>
  <si>
    <t>Eén testgebruiker per centrum de volledige flow laten doorlopen; nul kritische bugs</t>
  </si>
  <si>
    <t>4–5</t>
  </si>
  <si>
    <t>dec 26 – jan 27</t>
  </si>
  <si>
    <t>Go-criterium 3</t>
  </si>
  <si>
    <t>P-B1</t>
  </si>
  <si>
    <t>Module 1 — theoretisch kader</t>
  </si>
  <si>
    <t>Vier uur, centraal, met kennistoets</t>
  </si>
  <si>
    <t>P-B2</t>
  </si>
  <si>
    <t>Module 2 — SEBIA hands-on</t>
  </si>
  <si>
    <t>Vier uur, drie casussen, rollenspel per stap, motiverende gespreksvoering</t>
  </si>
  <si>
    <t>P-B3</t>
  </si>
  <si>
    <t>Module 3 — technologie on-site</t>
  </si>
  <si>
    <t>Twee uur per centrum: kalibratie, regio-indeling, sensoren, troubleshooting</t>
  </si>
  <si>
    <t>P-B4</t>
  </si>
  <si>
    <t>Module 4 — certificering</t>
  </si>
  <si>
    <t>Vier uur met gesimuleerde patiëntcontacten; kennistoets ≥ 80% en alle domeinen ≥ 3 op 4</t>
  </si>
  <si>
    <t>Dobbels + PhD-A</t>
  </si>
  <si>
    <t>Go-criterium 4</t>
  </si>
  <si>
    <t>P-B5</t>
  </si>
  <si>
    <t>Module 5 — data-entry</t>
  </si>
  <si>
    <t>Twee uur per centrum; omvang hangt af van de formulierenroute</t>
  </si>
  <si>
    <t>Openstaand punt 20</t>
  </si>
  <si>
    <t>P-C1</t>
  </si>
  <si>
    <t>Methodevergelijking pedar – F-Scan GO</t>
  </si>
  <si>
    <t>Parallel aan de trial, door het studieteam; Bland-Altman, ICC per regio, Passing-Bablok, ROC, kappa</t>
  </si>
  <si>
    <t>2 en verder</t>
  </si>
  <si>
    <t>okt 26 →</t>
  </si>
  <si>
    <t>Geen startvoorwaarde — punt 22</t>
  </si>
  <si>
    <t>Taak 1.5 — Piloot en Go/No-Go · M5–6 · D1.5 · MS3</t>
  </si>
  <si>
    <t>1.5a</t>
  </si>
  <si>
    <t>Pilootpatiënten selecteren</t>
  </si>
  <si>
    <t>Eén per centrum, risicocategorie 0 tot 3, geen studiepatiënt, met aparte toestemming</t>
  </si>
  <si>
    <t>D1.5</t>
  </si>
  <si>
    <t>Lokale PI</t>
  </si>
  <si>
    <t>1.5b</t>
  </si>
  <si>
    <t>Pilootconsent laten goedkeuren</t>
  </si>
  <si>
    <t>Beschrijft de piloot als testrun, niet als klinische studie</t>
  </si>
  <si>
    <t>1.5c</t>
  </si>
  <si>
    <t>Pilootbezoek uitvoeren</t>
  </si>
  <si>
    <t>Volledige keten met tijdregistratie per onderdeel; doel onder negentig minuten productief</t>
  </si>
  <si>
    <t>5–6</t>
  </si>
  <si>
    <t>jan – feb 27</t>
  </si>
  <si>
    <t>Podoloog + technoloog</t>
  </si>
  <si>
    <t>PhD-A observeert in elk centrum</t>
  </si>
  <si>
    <t>1.5d</t>
  </si>
  <si>
    <t>Debriefing per centrum</t>
  </si>
  <si>
    <t>Dertig minuten binnen de week; elk knelpunt als kritisch of optimaliseerbaar</t>
  </si>
  <si>
    <t>6</t>
  </si>
  <si>
    <t>feb 27</t>
  </si>
  <si>
    <t>1.5e</t>
  </si>
  <si>
    <t>Pilootrapport en updates</t>
  </si>
  <si>
    <t>Knelpuntenmatrix, SOP's naar v1.1, databank naar v1.1</t>
  </si>
  <si>
    <t>1.5f</t>
  </si>
  <si>
    <t>Go/No-Go-vergadering</t>
  </si>
  <si>
    <t>Zeven criteria, unanimiteit vereist, startdatum inclusie vastleggen</t>
  </si>
  <si>
    <t>Executive Board</t>
  </si>
  <si>
    <t>Zie blad Go-NoGo</t>
  </si>
  <si>
    <t>Taak 1.6 — Rekrutering van 144 · M6–18 · D1.6 · MS4</t>
  </si>
  <si>
    <t>1.6a</t>
  </si>
  <si>
    <t>Screening opstarten</t>
  </si>
  <si>
    <t>Retrospectief in de raadplegingsagenda's en prospectieve verwijzingen</t>
  </si>
  <si>
    <t>D1.6</t>
  </si>
  <si>
    <t>1.6b</t>
  </si>
  <si>
    <t>Screeningslog bijhouden</t>
  </si>
  <si>
    <t>Iedereen die overwogen werd, met reden bij uitsluiting; voedt het CONSORT-diagram</t>
  </si>
  <si>
    <t>6–18</t>
  </si>
  <si>
    <t>feb 27 – feb 28</t>
  </si>
  <si>
    <t>1.6c</t>
  </si>
  <si>
    <t>Maandelijkse rekruteringsopvolging</t>
  </si>
  <si>
    <t>Twee per centrum per maand; bij scheve verdeling gefaseerde inclusie</t>
  </si>
  <si>
    <t>1.6d</t>
  </si>
  <si>
    <t>Uitval opvolgen tegen de aanname</t>
  </si>
  <si>
    <t>15% is een aanname; bij overschrijding wordt de rekrutering verlengd</t>
  </si>
  <si>
    <t>Taak 1.7 — Alle beoordelingen · M7–37 · D1.7 · MS5 en MS6</t>
  </si>
  <si>
    <t>1.7a</t>
  </si>
  <si>
    <t>Negen contacten per deelnemer</t>
  </si>
  <si>
    <t>Screening, baseline, visite 2, en maand 3, 6, 9, 12, 15 en 18</t>
  </si>
  <si>
    <t>7–37</t>
  </si>
  <si>
    <t>mrt 27 – sep 29</t>
  </si>
  <si>
    <t>D1.7</t>
  </si>
  <si>
    <t>Centra + studieteam</t>
  </si>
  <si>
    <t>1.7b</t>
  </si>
  <si>
    <t>Drukmeting op vier momenten</t>
  </si>
  <si>
    <t>Baseline, maand 6, 12 en 18; behaalde reductie per deelnemer registreren</t>
  </si>
  <si>
    <t>Klinisch team</t>
  </si>
  <si>
    <t>1.7c</t>
  </si>
  <si>
    <t>MoveMonitor twee volle weken</t>
  </si>
  <si>
    <t>Zeven dagen op baseline en zeven dagen op maand 6, in beide armen</t>
  </si>
  <si>
    <t>Centra</t>
  </si>
  <si>
    <t>1.7d</t>
  </si>
  <si>
    <t>Orthotimer driemaandelijks uitlezen</t>
  </si>
  <si>
    <t>Uitlezen en batterij vervangen bij elke kwartaalvisite</t>
  </si>
  <si>
    <t>1.7e</t>
  </si>
  <si>
    <t>Sensordatavolledigheid bewaken</t>
  </si>
  <si>
    <t>Halfjaarlijks centraal nakijken; onder 70% in een centrum volgt herscholing</t>
  </si>
  <si>
    <t>1.7f</t>
  </si>
  <si>
    <t>Halfjaarlijkse veiligheidsreview</t>
  </si>
  <si>
    <t>Cumulatieve ulceratie en amputatie per arm, met Aalen-Johansen en sterfte als concurrerend risico</t>
  </si>
  <si>
    <t>PhD-A + site-PI's</t>
  </si>
  <si>
    <t>1.7g</t>
  </si>
  <si>
    <t>Centrale monitoring</t>
  </si>
  <si>
    <t>Rekrutering, toestemming, afwijkingen, datavolledigheid, envelopintegriteit, veiligheidsrapportering</t>
  </si>
  <si>
    <t>Monitor</t>
  </si>
  <si>
    <t>Taak 1.8 — Analyse en publicatie · M43–48 · D1.8 · MS9</t>
  </si>
  <si>
    <t>1.8a</t>
  </si>
  <si>
    <t>Statistisch analyseplan schrijven</t>
  </si>
  <si>
    <t>Afgewerkt, versiebeheerd én gepubliceerd of gedeponeerd vóór de database-lock</t>
  </si>
  <si>
    <t>Bijlage 4</t>
  </si>
  <si>
    <t>Staat voor oktober 2026</t>
  </si>
  <si>
    <t>1.8b</t>
  </si>
  <si>
    <t>Database-lock</t>
  </si>
  <si>
    <t>Na afronding van de laatste opvolgvisite</t>
  </si>
  <si>
    <t>38–42</t>
  </si>
  <si>
    <t>okt 29 – feb 30</t>
  </si>
  <si>
    <t>D1.8</t>
  </si>
  <si>
    <t>PhD-A + datamanager</t>
  </si>
  <si>
    <t>1.8c</t>
  </si>
  <si>
    <t>Primaire analyse</t>
  </si>
  <si>
    <t>Cox gestratificeerd naar centrum, oorzaakspecifieke hazard primair, Fine-Gray en cumulatieve incidentie ernaast</t>
  </si>
  <si>
    <t>43–46</t>
  </si>
  <si>
    <t>mrt – jun 30</t>
  </si>
  <si>
    <t>Coördinerend onderzoeker</t>
  </si>
  <si>
    <t>1.8d</t>
  </si>
  <si>
    <t>Mediatie- en secundaire analyses</t>
  </si>
  <si>
    <t>Beta-regressie voor therapietrouw, vier vooraf bepaalde subgroepen, mediatie als ondersteunend</t>
  </si>
  <si>
    <t>1.8e</t>
  </si>
  <si>
    <t>Manuscript en rapportage</t>
  </si>
  <si>
    <t>Eén multicentrische publicatie volgens CONSORT 2025; resultaten in het register binnen twaalf maanden na de laatste visite</t>
  </si>
  <si>
    <t>46–48</t>
  </si>
  <si>
    <t>jun – aug 30</t>
  </si>
  <si>
    <t>1.8f</t>
  </si>
  <si>
    <t>Samenvatting in gewone taal</t>
  </si>
  <si>
    <t>Voor alle deelnemers, ongeacht de uitkomst</t>
  </si>
  <si>
    <t>48</t>
  </si>
  <si>
    <t>aug 30</t>
  </si>
  <si>
    <t>Vijfentwintig punten, geordend naar wat ze vragen. Nagelopen tegen de bestanden op 10 september 2026.</t>
  </si>
  <si>
    <t>Punt</t>
  </si>
  <si>
    <t>Waar</t>
  </si>
  <si>
    <t>Prioriteit</t>
  </si>
  <si>
    <t>A — Tegenstrijdig binnen het manuscript · rechtzetten vóór de indiening</t>
  </si>
  <si>
    <t>Wie het ulcus vaststelt</t>
  </si>
  <si>
    <t>Kiezen tussen een onafhankelijke geblindeerde commissie en het multidisciplinaire team dat nu in de methodesectie staat, en dan zes plaatsen gelijkzetten</t>
  </si>
  <si>
    <t>Methods, Strengths, Limitations, tabel 3, statistiek, SPIRIT 3d en 24c</t>
  </si>
  <si>
    <t>Hoog</t>
  </si>
  <si>
    <t>Eerst doen: raakt ook de werving</t>
  </si>
  <si>
    <t>Randomisatiemethode</t>
  </si>
  <si>
    <t>De zin over identieke, door elkaar gestoken enveloppen in de methodesectie zetten, en 'variable permuted blocks' uit het onderschrift van figuur 1 halen</t>
  </si>
  <si>
    <t>Methods, onderschrift figuur 1</t>
  </si>
  <si>
    <t>SPIRIT-item 16a; methode beslist 10 sep</t>
  </si>
  <si>
    <t>Doelstelling en hypothesen</t>
  </si>
  <si>
    <t>Objectives en Hypotheses formuleren nog een dubbel doel; gelijkzetten met het ene primaire eindpunt</t>
  </si>
  <si>
    <t>Objectives, Hypotheses</t>
  </si>
  <si>
    <t>Niet-onafhankelijke analist</t>
  </si>
  <si>
    <t>De erkenning en de maskering als A en B terugzetten in de beperkingen</t>
  </si>
  <si>
    <t>Limitations</t>
  </si>
  <si>
    <t>Was er op 3 sep, weg op 8 sep</t>
  </si>
  <si>
    <t>Amputatiegrens</t>
  </si>
  <si>
    <t>Het anatomische niveau als criterium zetten in plaats van procedurenamen; 'metatarsal head' naar meervoud</t>
  </si>
  <si>
    <t>Eligibility criteria</t>
  </si>
  <si>
    <t>Regel beslist 10 sep</t>
  </si>
  <si>
    <t>Wat Optimal Care omvat</t>
  </si>
  <si>
    <t>De labels '(Optimal Care)' uit tabel 2 halen bij voorschrift en aflevering van de CMFO</t>
  </si>
  <si>
    <t>Tabel 2</t>
  </si>
  <si>
    <t>Middel</t>
  </si>
  <si>
    <t>Titel van tabel 4 is al rechtgezet</t>
  </si>
  <si>
    <t>Drukmeting op visite 2</t>
  </si>
  <si>
    <t>De drukmeting aanvinken op V2 in tabel 2, en de aparte visite 0 uit het protocol expliciet maken</t>
  </si>
  <si>
    <t>Baselinemeting blootsvoets of in-shoe</t>
  </si>
  <si>
    <t>Tabel 4 zegt in-shoe door het studieteam, protocol en tekst zeggen blootsvoets door het klinische team</t>
  </si>
  <si>
    <t>Tabel 4, eCRF 09</t>
  </si>
  <si>
    <t>Onderhoud van de zolen</t>
  </si>
  <si>
    <t>Eén paar met vervanging op maand 6, 12 en 18, of twee paren met kwartaalbeoordeling — kiezen</t>
  </si>
  <si>
    <t>Tabel 2, tabel 4, eCRF 23</t>
  </si>
  <si>
    <t>Pedorthisten moeten weten hoeveel paren</t>
  </si>
  <si>
    <t>Bewaartermijn</t>
  </si>
  <si>
    <t>Tien of vijftien jaar; nagaan waar de strengere op steunt</t>
  </si>
  <si>
    <t>Data management</t>
  </si>
  <si>
    <t>Laag</t>
  </si>
  <si>
    <t>B — Redactie en pakket · kan grotendeels vandaag</t>
  </si>
  <si>
    <t>Figuur 3 en 5 zonder titel</t>
  </si>
  <si>
    <t>Titelregel en ondertitel toevoegen in de SVG, zoals figuur 1, 2 en 4 die hebben</t>
  </si>
  <si>
    <t>Figure3_logic_model.svg, Figure5_CPTS.svg</t>
  </si>
  <si>
    <t>Beide met de hand geschreven</t>
  </si>
  <si>
    <t>Plaatsingsmarkeringen en verwijzingen</t>
  </si>
  <si>
    <t>Markering toevoegen voor figuur 1, 4 en 5; de dubbele markering voor tabel 2 weghalen; bijlage 4 en figuur 5 aanhalen in de tekst</t>
  </si>
  <si>
    <t>Lopende tekst</t>
  </si>
  <si>
    <t>Toekenningsbrief FWO</t>
  </si>
  <si>
    <t>Opvragen en toevoegen; bijlage 6 toont nu alleen de ingediende aanvraag</t>
  </si>
  <si>
    <t>Bijlage 6</t>
  </si>
  <si>
    <t>eCRF 01</t>
  </si>
  <si>
    <t>Drie criteria aanvullen (PEDIS graad 3, immunosuppressie, stabiele vaatstatus) en 'niet de eerste metatarsaalkop' weghalen</t>
  </si>
  <si>
    <t>Zie ook punt 5</t>
  </si>
  <si>
    <t>Scoreformulier slijtageschaal</t>
  </si>
  <si>
    <t>Ontbreekt, terwijl de meting op visite 2 en op maand 6, 12 en 18 gepland staat</t>
  </si>
  <si>
    <t>eCRF-set</t>
  </si>
  <si>
    <t>Werkinstructie pedar</t>
  </si>
  <si>
    <t>Ontbreekt volledig; voor MoveMonitor (19b) en Orthotimer (25b) bestaat er wel een</t>
  </si>
  <si>
    <t>Toestel waarop de klinische beslissing rust</t>
  </si>
  <si>
    <t>eCRF-set indieningsklaar maken</t>
  </si>
  <si>
    <t>Eén set als officieel aanduiden, en de 65 opmerkingen uit vijftien documenten van de S71769-set halen</t>
  </si>
  <si>
    <t>De Nederlandse set is schoon</t>
  </si>
  <si>
    <t>Bestaat; alleen de leesbaarheidstest op B1 bij drie pilootpatiënten moet nog</t>
  </si>
  <si>
    <t>eCRF 48</t>
  </si>
  <si>
    <t>Opgelost</t>
  </si>
  <si>
    <t>Texas Wound Classification</t>
  </si>
  <si>
    <t>Zit niet meer in de eCRF-set en staat niet in het manuscript</t>
  </si>
  <si>
    <t>Formulierenroute</t>
  </si>
  <si>
    <t>'Academic staff' preciseren: wie voert in, en welke rollen krijgt de databank</t>
  </si>
  <si>
    <t>Data collection</t>
  </si>
  <si>
    <t>Zeven blanco velden</t>
  </si>
  <si>
    <t>Registratienummer en -datum, startdatum rekrutering, herschrijfmarkering ethiek, belangenconflicten, auteursbijdragen, dankwoord</t>
  </si>
  <si>
    <t>Abstract, Trial status, Declarations</t>
  </si>
  <si>
    <t>Zie blad Manuscriptpakket</t>
  </si>
  <si>
    <t>C — Projectdocumenten · bijwerken bij de eerste voortgangsrapportage</t>
  </si>
  <si>
    <t>Go-criterium 6 en 7</t>
  </si>
  <si>
    <t>De ICC-drempel verplaatsen naar het klinische toestel, en de methodevergelijking uit de startvoorwaarden halen</t>
  </si>
  <si>
    <t>Draaiboek fase 06</t>
  </si>
  <si>
    <t>MS4, MS5 en MS6</t>
  </si>
  <si>
    <t>Staan op M24 en M42; protocol en manuscript komen op M18 en M37 uit</t>
  </si>
  <si>
    <t>FWO-planning</t>
  </si>
  <si>
    <t>Speling, geen probleem</t>
  </si>
  <si>
    <t>Steekproefonderbouwing</t>
  </si>
  <si>
    <t>Manuscript zegt 127, protocol zegt 130 — gelijkzetten</t>
  </si>
  <si>
    <t>Sample size, protocol</t>
  </si>
  <si>
    <t>Monitoringopzet bevestigen</t>
  </si>
  <si>
    <t>Het coördinerende comité moet de opzet bevestigen vóór de indiening</t>
  </si>
  <si>
    <t>Monitoring</t>
  </si>
  <si>
    <t>Het manuscript belooft dit expliciet</t>
  </si>
  <si>
    <t>Go/No-Go — maand 6</t>
  </si>
  <si>
    <t>Zeven criteria voor de Executive Board, plus de negen site-readinesscriteria per centrum.</t>
  </si>
  <si>
    <t>Criterium</t>
  </si>
  <si>
    <t>Go-drempel</t>
  </si>
  <si>
    <t>Bewijsstuk</t>
  </si>
  <si>
    <t>Zeven Go-criteria · Executive Board, maand 6, unanimiteit vereist</t>
  </si>
  <si>
    <t>Ethische goedkeuringen</t>
  </si>
  <si>
    <t>Zeven op zeven — centraal, zes lokaal, plus de bevoegde autoriteit</t>
  </si>
  <si>
    <t>Goedkeuringsbrieven en registratienummers</t>
  </si>
  <si>
    <t>Site readiness</t>
  </si>
  <si>
    <t>Zes op zes centra voldoen aan alle negen criteria</t>
  </si>
  <si>
    <t>Ingevulde checklists</t>
  </si>
  <si>
    <t>Zie hieronder</t>
  </si>
  <si>
    <t>Databank operationeel</t>
  </si>
  <si>
    <t>Nul kritische bugs na acceptatietest, versie-locked</t>
  </si>
  <si>
    <t>Testrapport en versielog</t>
  </si>
  <si>
    <t>Certificering zorgverleners</t>
  </si>
  <si>
    <t>Minstens twee per centrum, dus twaalf of meer</t>
  </si>
  <si>
    <t>Certificatenregister in de Trial Master File</t>
  </si>
  <si>
    <t>Pilootrapport</t>
  </si>
  <si>
    <t>Nul onopgeloste kritische knelpunten</t>
  </si>
  <si>
    <t>Pilootrapport v1.0</t>
  </si>
  <si>
    <t>Meetbetrouwbaarheid</t>
  </si>
  <si>
    <t>ICC ≥ 0,80 in alle centra, of gepoold</t>
  </si>
  <si>
    <t>ICC-rapport</t>
  </si>
  <si>
    <t>Methodevergelijking</t>
  </si>
  <si>
    <t>Overeenstemmingsgrenzen gekwantificeerd</t>
  </si>
  <si>
    <t>Bland-Altman-rapport</t>
  </si>
  <si>
    <t>Geen startvoorwaarde meer — punt 22</t>
  </si>
  <si>
    <t>Site readiness — negen criteria, per centrum af te vinken</t>
  </si>
  <si>
    <t>Site readiness — negen criteria per centrum</t>
  </si>
  <si>
    <t>Categorie</t>
  </si>
  <si>
    <t>UZ Leuven</t>
  </si>
  <si>
    <t>UZ Antwerpen</t>
  </si>
  <si>
    <t>UZ Gent</t>
  </si>
  <si>
    <t>AZORG</t>
  </si>
  <si>
    <t>AZ Sint-Jan</t>
  </si>
  <si>
    <t>AZ Groeninge</t>
  </si>
  <si>
    <t>Drukmeetsysteem operationeel, met kalibratietestrun</t>
  </si>
  <si>
    <t>Technologie</t>
  </si>
  <si>
    <t>Minstens twee gecertificeerde zorgverleners</t>
  </si>
  <si>
    <t>Opleiding</t>
  </si>
  <si>
    <t>Databankaccount actief, testlogin geslaagd</t>
  </si>
  <si>
    <t>Data</t>
  </si>
  <si>
    <t>Lokale ethische goedkeuring ontvangen</t>
  </si>
  <si>
    <t>Ethiek</t>
  </si>
  <si>
    <t>Orthotimer-sensoren, lezer en software aanwezig</t>
  </si>
  <si>
    <t>MoveMonitor aanwezig, uitgifte- en retourprotocol bekend</t>
  </si>
  <si>
    <t>Minstens tien sets van het assessment booklet</t>
  </si>
  <si>
    <t>Klinisch</t>
  </si>
  <si>
    <t>Loopruimte van minstens tien meter</t>
  </si>
  <si>
    <t>Infrastructuur</t>
  </si>
  <si>
    <t>Back-upzorgverlener met naam en contact</t>
  </si>
  <si>
    <t>Organisatie</t>
  </si>
  <si>
    <t>Het manuscriptpakket</t>
  </si>
  <si>
    <t>Figuren, bijlagen, blanco velden en de resterende SPIRIT-gaten.</t>
  </si>
  <si>
    <t>Onderdeel</t>
  </si>
  <si>
    <t>Bestand of plaats</t>
  </si>
  <si>
    <t>Figuren</t>
  </si>
  <si>
    <t>F1</t>
  </si>
  <si>
    <t>Figuur 1 — CONSORT-stroomschema</t>
  </si>
  <si>
    <t>Plaatsingsmarkering toevoegen; onderschrift zegt ten onrechte 'variable permuted blocks'</t>
  </si>
  <si>
    <t>Figure1_CONSORT_flow.svg</t>
  </si>
  <si>
    <t>Titel en aanhaling in orde</t>
  </si>
  <si>
    <t>F2</t>
  </si>
  <si>
    <t>Figuur 2 — interventiepad</t>
  </si>
  <si>
    <t>Niets</t>
  </si>
  <si>
    <t>Figure2_intervention_pathway.svg</t>
  </si>
  <si>
    <t>F3</t>
  </si>
  <si>
    <t>Figuur 3 — logisch model</t>
  </si>
  <si>
    <t>Titelregel en ondertitel toevoegen</t>
  </si>
  <si>
    <t>Figure3_logic_model.svg</t>
  </si>
  <si>
    <t>Met de hand geschreven</t>
  </si>
  <si>
    <t>F4</t>
  </si>
  <si>
    <t>Figuur 4 — PRECIS-2-wiel</t>
  </si>
  <si>
    <t>Plaatsingsmarkering toevoegen</t>
  </si>
  <si>
    <t>Figure4_PRECIS2.svg</t>
  </si>
  <si>
    <t>F5</t>
  </si>
  <si>
    <t>Figuur 5 — cumulatieve weefselbelasting</t>
  </si>
  <si>
    <t>Titelregel toevoegen, aanhalen in de tekst, plaatsingsmarkering toevoegen</t>
  </si>
  <si>
    <t>Figure5_CPTS.svg</t>
  </si>
  <si>
    <t>Drie dingen tegelijk</t>
  </si>
  <si>
    <t>F6</t>
  </si>
  <si>
    <t>Alle zes de figuren</t>
  </si>
  <si>
    <t>Een &lt;title&gt; en &lt;desc&gt; toevoegen voor toegankelijkheid</t>
  </si>
  <si>
    <t>protocol paper/*.svg</t>
  </si>
  <si>
    <t>Sommige uitgevers vragen dit</t>
  </si>
  <si>
    <t>Additional files</t>
  </si>
  <si>
    <t>A1</t>
  </si>
  <si>
    <t>Bijlage 1 — SPIRIT 2025-checklist</t>
  </si>
  <si>
    <t>Bijwerken na de beslissing over de adjudicatie (item 3d en 24c)</t>
  </si>
  <si>
    <t>Additional_file_1_SPIRIT_2025_checklist.docx</t>
  </si>
  <si>
    <t>Verder volledig</t>
  </si>
  <si>
    <t>A2</t>
  </si>
  <si>
    <t>Bijlage 2 — TIDieR-checklist</t>
  </si>
  <si>
    <t>Additional_file_2_TIDieR_checklist.docx</t>
  </si>
  <si>
    <t>Tien van tien items</t>
  </si>
  <si>
    <t>A3</t>
  </si>
  <si>
    <t>Bijlage 3 — model informed consent</t>
  </si>
  <si>
    <t>Additional_file_3_Model_informed_consent.docx</t>
  </si>
  <si>
    <t>Samengesteld 10 sep</t>
  </si>
  <si>
    <t>A4</t>
  </si>
  <si>
    <t>Bijlage 4 — statistisch analyseplan</t>
  </si>
  <si>
    <t>Schrijven, en aanhalen in de lopende tekst</t>
  </si>
  <si>
    <t>nog te maken</t>
  </si>
  <si>
    <t>Gepland voor oktober</t>
  </si>
  <si>
    <t>A5</t>
  </si>
  <si>
    <t>Bijlage 5 — ethische goedkeuring</t>
  </si>
  <si>
    <t>Volgt na de goedkeuring</t>
  </si>
  <si>
    <t>nog niet mogelijk</t>
  </si>
  <si>
    <t>Wacht op de EC</t>
  </si>
  <si>
    <t>A6</t>
  </si>
  <si>
    <t>Bijlage 6 — financieringsdocument</t>
  </si>
  <si>
    <t>Aanvullen met de toekenningsbrief zodra die er is</t>
  </si>
  <si>
    <t>Additional_file_6_Funding_documentation.pdf</t>
  </si>
  <si>
    <t>Uittreksel aanvraag klaar</t>
  </si>
  <si>
    <t>A7</t>
  </si>
  <si>
    <t>Bijlage 7 — powercurve</t>
  </si>
  <si>
    <t>Additional_file_7_power_curve.svg</t>
  </si>
  <si>
    <t>Blanco velden in het manuscript</t>
  </si>
  <si>
    <t>B1</t>
  </si>
  <si>
    <t>Registratienummer en -datum</t>
  </si>
  <si>
    <t>Invullen na registratie</t>
  </si>
  <si>
    <t>Abstract, Trial registration</t>
  </si>
  <si>
    <t>SPIRIT-item 4 en 1b</t>
  </si>
  <si>
    <t>B2</t>
  </si>
  <si>
    <t>Startdatum rekrutering</t>
  </si>
  <si>
    <t>Invullen bij de Go-beslissing</t>
  </si>
  <si>
    <t>Trial status</t>
  </si>
  <si>
    <t>B3</t>
  </si>
  <si>
    <t>Belangenconflicten</t>
  </si>
  <si>
    <t>Vijf auteurs bevragen</t>
  </si>
  <si>
    <t>Declarations</t>
  </si>
  <si>
    <t>SPIRIT-item 7b</t>
  </si>
  <si>
    <t>B4</t>
  </si>
  <si>
    <t>Auteursbijdragen</t>
  </si>
  <si>
    <t>ICMJE-criteria toepassen</t>
  </si>
  <si>
    <t>SPIRIT-item 3a</t>
  </si>
  <si>
    <t>B5</t>
  </si>
  <si>
    <t>Dankwoord</t>
  </si>
  <si>
    <t>Opstellen</t>
  </si>
  <si>
    <t>B6</t>
  </si>
  <si>
    <t>Rol van de financier</t>
  </si>
  <si>
    <t>Eén alinea over opzet, uitvoering, analyse en rapportering</t>
  </si>
  <si>
    <t>Declarations, Funding</t>
  </si>
  <si>
    <t>SPIRIT-item 3c</t>
  </si>
  <si>
    <t>B7</t>
  </si>
  <si>
    <t>Herschrijfmarkering ethiek</t>
  </si>
  <si>
    <t>Formuleren dat de goedkeuring nog volgt</t>
  </si>
  <si>
    <t>Overige SPIRIT-gaten</t>
  </si>
  <si>
    <t>S1</t>
  </si>
  <si>
    <t>Onderbouwing patiëntbetrokkenheid</t>
  </si>
  <si>
    <t>De tekst zegt dát het gedocumenteerd is, maar niet waar</t>
  </si>
  <si>
    <t>Patient and public involvement</t>
  </si>
  <si>
    <t>SPIRIT-item 11</t>
  </si>
  <si>
    <t>S2</t>
  </si>
  <si>
    <t>Eisen aan wie de interventie levert</t>
  </si>
  <si>
    <t>De certificeringsdrempels uit het opleidingsspoor hier opnemen</t>
  </si>
  <si>
    <t>Interventions</t>
  </si>
  <si>
    <t>SPIRIT-item 14b</t>
  </si>
  <si>
    <t>S3</t>
  </si>
  <si>
    <t>Ontblinderingsprocedure</t>
  </si>
  <si>
    <t>Herzien samen met de beslissing over de beoordelende instantie</t>
  </si>
  <si>
    <t>Randomisation</t>
  </si>
  <si>
    <t>SPIRIT-item 24c</t>
  </si>
  <si>
    <t>S4</t>
  </si>
  <si>
    <t>Toestemming voor hergebruik van data</t>
  </si>
  <si>
    <t>Bepalingen beschrijven</t>
  </si>
  <si>
    <t>Availability of data</t>
  </si>
  <si>
    <t>SPIRIT-item 32b</t>
  </si>
  <si>
    <t>De zeven mijlpalen die aan werkpakket 1 hangen. MS7 en MS8 horen bij WP2 en WP3.</t>
  </si>
  <si>
    <t>MS</t>
  </si>
  <si>
    <t>Wat</t>
  </si>
  <si>
    <t>Uit taak</t>
  </si>
  <si>
    <t>Volgens protocol</t>
  </si>
  <si>
    <t>MS1</t>
  </si>
  <si>
    <t>Boekjes en protocollen gemaakt</t>
  </si>
  <si>
    <t>1.2, 1.3</t>
  </si>
  <si>
    <t>M6 · feb 27</t>
  </si>
  <si>
    <t>idem</t>
  </si>
  <si>
    <t>MS2</t>
  </si>
  <si>
    <t>Gunstige ethische beoordeling verkregen</t>
  </si>
  <si>
    <t>1.1</t>
  </si>
  <si>
    <t>MS3</t>
  </si>
  <si>
    <t>Piloot en dataverzameling geslaagd</t>
  </si>
  <si>
    <t>1.5</t>
  </si>
  <si>
    <t>MS4</t>
  </si>
  <si>
    <t>144 gerekruteerd en gerandomiseerd</t>
  </si>
  <si>
    <t>1.6</t>
  </si>
  <si>
    <t>M24 · aug 28</t>
  </si>
  <si>
    <t>M18 · feb 28</t>
  </si>
  <si>
    <t>Kan naar voren — punt 23</t>
  </si>
  <si>
    <t>MS5</t>
  </si>
  <si>
    <t>Optimal en Usual Care geleverd</t>
  </si>
  <si>
    <t>1.7</t>
  </si>
  <si>
    <t>M42 · feb 30</t>
  </si>
  <si>
    <t>M37 · sep 29</t>
  </si>
  <si>
    <t>MS6</t>
  </si>
  <si>
    <t>Opvolgbeoordelingen afgerond</t>
  </si>
  <si>
    <t>MS9</t>
  </si>
  <si>
    <t>Rapport klinische effectiviteit</t>
  </si>
  <si>
    <t>1.8</t>
  </si>
  <si>
    <t>M48 · aug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</si>
</sst>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00407A"/>
      <name val="Calibri"/>
    </font>
    <font>
      <i/>
      <sz val="9"/>
      <color rgb="FF4A6880"/>
      <name val="Calibri"/>
    </font>
    <font>
      <b/>
      <sz val="10"/>
      <color rgb="FFFFFFFF"/>
      <name val="Calibri"/>
    </font>
    <font>
      <b/>
      <sz val="10"/>
      <color rgb="FF00407A"/>
      <name val="Calibri"/>
    </font>
    <font>
      <sz val="10"/>
      <name val="Calibri"/>
    </font>
    <font>
      <b/>
      <sz val="18"/>
      <color rgb="FF00407A"/>
      <name val="Calibri"/>
    </font>
    <font>
      <sz val="10"/>
      <color rgb="FF4A6880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8DB0"/>
      </patternFill>
    </fill>
    <fill>
      <patternFill patternType="solid">
        <fgColor rgb="FFEBF4FB"/>
      </patternFill>
    </fill>
  </fills>
  <borders count="2">
    <border>
      <left/>
      <right/>
      <top/>
      <bottom/>
      <diagonal/>
    </border>
    <border>
      <left style="thin">
        <color rgb="FFC8DFF0"/>
      </left>
      <right style="thin">
        <color rgb="FFC8DFF0"/>
      </right>
      <top style="thin">
        <color rgb="FFC8DFF0"/>
      </top>
      <bottom style="thin">
        <color rgb="FFC8DFF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6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0" fillId="0" borderId="1" xfId="0" applyBorder="1" applyAlignment="1">
      <alignment horizontal="center"/>
    </xf>
    <xf numFmtId="0" fontId="8" fillId="3" borderId="1" xfId="0" applyFont="1" applyFill="1" applyBorder="1"/>
    <xf numFmtId="0" fontId="8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4" fillId="0" borderId="0" xfId="0" applyFont="1"/>
    <xf numFmtId="0" fontId="7" fillId="0" borderId="0" xfId="0" applyFont="1"/>
    <xf numFmtId="0" fontId="0" fillId="0" borderId="0" xfId="0"/>
    <xf numFmtId="0" fontId="2" fillId="0" borderId="0" xfId="0" applyFont="1"/>
    <xf numFmtId="0" fontId="4" fillId="3" borderId="1" xfId="0" applyFont="1" applyFill="1" applyBorder="1"/>
    <xf numFmtId="0" fontId="0" fillId="3" borderId="1" xfId="0" applyFill="1" applyBorder="1"/>
    <xf numFmtId="0" fontId="1" fillId="0" borderId="0" xfId="0" applyFont="1"/>
  </cellXfs>
  <cellStyles count="1">
    <cellStyle name="Standaard" xfId="0" builtinId="0"/>
  </cellStyles>
  <dxfs count="22">
    <dxf>
      <font>
        <i/>
        <color rgb="FF7A8A99"/>
      </font>
      <fill>
        <patternFill patternType="solid">
          <fgColor rgb="FFEDEFF1"/>
        </patternFill>
      </fill>
    </dxf>
    <dxf>
      <font>
        <b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/>
        <color rgb="FF1E6B32"/>
      </font>
      <fill>
        <patternFill patternType="solid">
          <fgColor rgb="FFD6EEDB"/>
        </patternFill>
      </fill>
    </dxf>
    <dxf>
      <font>
        <i/>
        <color rgb="FF7A8A99"/>
      </font>
      <fill>
        <patternFill patternType="solid">
          <fgColor rgb="FFEDEFF1"/>
        </patternFill>
      </fill>
    </dxf>
    <dxf>
      <font>
        <b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/>
        <color rgb="FF1E6B32"/>
      </font>
      <fill>
        <patternFill patternType="solid">
          <fgColor rgb="FFD6EEDB"/>
        </patternFill>
      </fill>
    </dxf>
    <dxf>
      <font>
        <i/>
        <color rgb="FF7A8A99"/>
      </font>
      <fill>
        <patternFill patternType="solid">
          <fgColor rgb="FFEDEFF1"/>
        </patternFill>
      </fill>
    </dxf>
    <dxf>
      <font>
        <b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/>
        <color rgb="FF1E6B32"/>
      </font>
      <fill>
        <patternFill patternType="solid">
          <fgColor rgb="FFD6EEDB"/>
        </patternFill>
      </fill>
    </dxf>
    <dxf>
      <font>
        <color rgb="FFA02A1A"/>
      </font>
      <fill>
        <patternFill patternType="solid">
          <fgColor rgb="FFFBDDD8"/>
        </patternFill>
      </fill>
    </dxf>
    <dxf>
      <font>
        <b/>
        <color rgb="FF1E6B32"/>
      </font>
      <fill>
        <patternFill patternType="solid">
          <fgColor rgb="FFD6EEDB"/>
        </patternFill>
      </fill>
    </dxf>
    <dxf>
      <font>
        <i/>
        <color rgb="FF7A8A99"/>
      </font>
      <fill>
        <patternFill patternType="solid">
          <fgColor rgb="FFEDEFF1"/>
        </patternFill>
      </fill>
    </dxf>
    <dxf>
      <font>
        <b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/>
        <color rgb="FF1E6B32"/>
      </font>
      <fill>
        <patternFill patternType="solid">
          <fgColor rgb="FFD6EEDB"/>
        </patternFill>
      </fill>
    </dxf>
    <dxf>
      <font>
        <i/>
        <color rgb="FF7A8A99"/>
      </font>
      <fill>
        <patternFill patternType="solid">
          <fgColor rgb="FFEDEFF1"/>
        </patternFill>
      </fill>
    </dxf>
    <dxf>
      <font>
        <b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/>
        <color rgb="FF1E6B32"/>
      </font>
      <fill>
        <patternFill patternType="solid">
          <fgColor rgb="FFD6EED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/>
  </sheetViews>
  <sheetFormatPr defaultRowHeight="15" x14ac:dyDescent="0.25"/>
  <cols>
    <col min="1" max="1" width="26" customWidth="1"/>
    <col min="2" max="5" width="10" customWidth="1"/>
    <col min="6" max="6" width="13" customWidth="1"/>
    <col min="7" max="7" width="10" customWidth="1"/>
    <col min="8" max="8" width="11" customWidth="1"/>
  </cols>
  <sheetData>
    <row r="1" spans="1:8" ht="23.25" x14ac:dyDescent="0.35">
      <c r="A1" s="1" t="s">
        <v>0</v>
      </c>
    </row>
    <row r="2" spans="1:8" x14ac:dyDescent="0.25">
      <c r="A2" s="2" t="s">
        <v>1</v>
      </c>
    </row>
    <row r="4" spans="1:8" x14ac:dyDescent="0.25">
      <c r="A4" s="12" t="s">
        <v>2</v>
      </c>
      <c r="B4" s="13"/>
      <c r="C4" s="13"/>
      <c r="D4" s="13"/>
      <c r="E4" s="13"/>
      <c r="F4" s="13"/>
    </row>
    <row r="6" spans="1:8" x14ac:dyDescent="0.25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</row>
    <row r="7" spans="1:8" x14ac:dyDescent="0.25">
      <c r="A7" s="4" t="s">
        <v>11</v>
      </c>
      <c r="B7" s="5">
        <f>COUNTA(Taken!$H$5:$H$80)</f>
        <v>67</v>
      </c>
      <c r="C7" s="5">
        <f>COUNTIF(Taken!$H$5:$H$80,"Te doen")</f>
        <v>64</v>
      </c>
      <c r="D7" s="5">
        <f>COUNTIF(Taken!$H$5:$H$80,"Bezig")</f>
        <v>0</v>
      </c>
      <c r="E7" s="5">
        <f>COUNTIF(Taken!$H$5:$H$80,"Klaar")</f>
        <v>2</v>
      </c>
      <c r="F7" s="5">
        <f>COUNTIF(Taken!$H$5:$H$80,"Geblokkeerd")</f>
        <v>1</v>
      </c>
      <c r="G7" s="5">
        <f>COUNTIF(Taken!$H$5:$H$80,"Vervalt")</f>
        <v>0</v>
      </c>
      <c r="H7" s="5">
        <f t="shared" ref="H7:H12" si="0">IF(B7=0,"",ROUND(E7/B7*100,0))</f>
        <v>3</v>
      </c>
    </row>
    <row r="8" spans="1:8" x14ac:dyDescent="0.25">
      <c r="A8" s="4" t="s">
        <v>12</v>
      </c>
      <c r="B8" s="5">
        <f>COUNTA('Openstaande punten'!$F$5:$F$32)</f>
        <v>25</v>
      </c>
      <c r="C8" s="5">
        <f>COUNTIF('Openstaande punten'!$F$5:$F$32,"Te doen")</f>
        <v>23</v>
      </c>
      <c r="D8" s="5">
        <f>COUNTIF('Openstaande punten'!$F$5:$F$32,"Bezig")</f>
        <v>0</v>
      </c>
      <c r="E8" s="5">
        <f>COUNTIF('Openstaande punten'!$F$5:$F$32,"Klaar")</f>
        <v>1</v>
      </c>
      <c r="F8" s="5">
        <f>COUNTIF('Openstaande punten'!$F$5:$F$32,"Geblokkeerd")</f>
        <v>0</v>
      </c>
      <c r="G8" s="5">
        <f>COUNTIF('Openstaande punten'!$F$5:$F$32,"Vervalt")</f>
        <v>1</v>
      </c>
      <c r="H8" s="5">
        <f t="shared" si="0"/>
        <v>4</v>
      </c>
    </row>
    <row r="9" spans="1:8" x14ac:dyDescent="0.25">
      <c r="A9" s="4" t="s">
        <v>13</v>
      </c>
      <c r="B9" s="5">
        <f>COUNTA('Go-NoGo'!$E$5:$E$12)</f>
        <v>7</v>
      </c>
      <c r="C9" s="5">
        <f>COUNTIF('Go-NoGo'!$E$5:$E$12,"Te doen")</f>
        <v>7</v>
      </c>
      <c r="D9" s="5">
        <f>COUNTIF('Go-NoGo'!$E$5:$E$12,"Bezig")</f>
        <v>0</v>
      </c>
      <c r="E9" s="5">
        <f>COUNTIF('Go-NoGo'!$E$5:$E$12,"Klaar")</f>
        <v>0</v>
      </c>
      <c r="F9" s="5">
        <f>COUNTIF('Go-NoGo'!$E$5:$E$12,"Geblokkeerd")</f>
        <v>0</v>
      </c>
      <c r="G9" s="5">
        <f>COUNTIF('Go-NoGo'!$E$5:$E$12,"Vervalt")</f>
        <v>0</v>
      </c>
      <c r="H9" s="5">
        <f t="shared" si="0"/>
        <v>0</v>
      </c>
    </row>
    <row r="10" spans="1:8" x14ac:dyDescent="0.25">
      <c r="A10" s="4" t="s">
        <v>14</v>
      </c>
      <c r="B10" s="5">
        <f>COUNTA(Manuscriptpakket!$E$5:$E$32)</f>
        <v>24</v>
      </c>
      <c r="C10" s="5">
        <f>COUNTIF(Manuscriptpakket!$E$5:$E$32,"Te doen")</f>
        <v>18</v>
      </c>
      <c r="D10" s="5">
        <f>COUNTIF(Manuscriptpakket!$E$5:$E$32,"Bezig")</f>
        <v>1</v>
      </c>
      <c r="E10" s="5">
        <f>COUNTIF(Manuscriptpakket!$E$5:$E$32,"Klaar")</f>
        <v>4</v>
      </c>
      <c r="F10" s="5">
        <f>COUNTIF(Manuscriptpakket!$E$5:$E$32,"Geblokkeerd")</f>
        <v>1</v>
      </c>
      <c r="G10" s="5">
        <f>COUNTIF(Manuscriptpakket!$E$5:$E$32,"Vervalt")</f>
        <v>0</v>
      </c>
      <c r="H10" s="5">
        <f t="shared" si="0"/>
        <v>17</v>
      </c>
    </row>
    <row r="11" spans="1:8" x14ac:dyDescent="0.25">
      <c r="A11" s="4" t="s">
        <v>15</v>
      </c>
      <c r="B11" s="5">
        <f>COUNTA(Mijlpalen!$F$5:$F$11)</f>
        <v>7</v>
      </c>
      <c r="C11" s="5">
        <f>COUNTIF(Mijlpalen!$F$5:$F$11,"Te doen")</f>
        <v>7</v>
      </c>
      <c r="D11" s="5">
        <f>COUNTIF(Mijlpalen!$F$5:$F$11,"Bezig")</f>
        <v>0</v>
      </c>
      <c r="E11" s="5">
        <f>COUNTIF(Mijlpalen!$F$5:$F$11,"Klaar")</f>
        <v>0</v>
      </c>
      <c r="F11" s="5">
        <f>COUNTIF(Mijlpalen!$F$5:$F$11,"Geblokkeerd")</f>
        <v>0</v>
      </c>
      <c r="G11" s="5">
        <f>COUNTIF(Mijlpalen!$F$5:$F$11,"Vervalt")</f>
        <v>0</v>
      </c>
      <c r="H11" s="5">
        <f t="shared" si="0"/>
        <v>0</v>
      </c>
    </row>
    <row r="12" spans="1:8" x14ac:dyDescent="0.25">
      <c r="A12" s="6" t="s">
        <v>16</v>
      </c>
      <c r="B12" s="7">
        <f t="shared" ref="B12:G12" si="1">SUM(B7:B11)</f>
        <v>130</v>
      </c>
      <c r="C12" s="7">
        <f t="shared" si="1"/>
        <v>119</v>
      </c>
      <c r="D12" s="7">
        <f t="shared" si="1"/>
        <v>1</v>
      </c>
      <c r="E12" s="7">
        <f t="shared" si="1"/>
        <v>7</v>
      </c>
      <c r="F12" s="7">
        <f t="shared" si="1"/>
        <v>2</v>
      </c>
      <c r="G12" s="7">
        <f t="shared" si="1"/>
        <v>1</v>
      </c>
      <c r="H12" s="7">
        <f t="shared" si="0"/>
        <v>5</v>
      </c>
    </row>
    <row r="15" spans="1:8" x14ac:dyDescent="0.25">
      <c r="A15" s="2" t="s">
        <v>17</v>
      </c>
    </row>
    <row r="16" spans="1:8" x14ac:dyDescent="0.25">
      <c r="A16" s="2" t="s">
        <v>18</v>
      </c>
    </row>
  </sheetData>
  <mergeCells count="1"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8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62" customWidth="1"/>
    <col min="4" max="4" width="10" customWidth="1"/>
    <col min="5" max="5" width="16" customWidth="1"/>
    <col min="6" max="6" width="11" customWidth="1"/>
    <col min="7" max="7" width="20" customWidth="1"/>
    <col min="8" max="8" width="13" customWidth="1"/>
    <col min="9" max="9" width="26" customWidth="1"/>
  </cols>
  <sheetData>
    <row r="1" spans="1:9" ht="18.75" x14ac:dyDescent="0.3">
      <c r="A1" s="17" t="s">
        <v>19</v>
      </c>
      <c r="B1" s="13"/>
      <c r="C1" s="13"/>
      <c r="D1" s="13"/>
      <c r="E1" s="13"/>
      <c r="F1" s="13"/>
      <c r="G1" s="13"/>
      <c r="H1" s="13"/>
      <c r="I1" s="13"/>
    </row>
    <row r="2" spans="1:9" x14ac:dyDescent="0.25">
      <c r="A2" s="14" t="s">
        <v>20</v>
      </c>
      <c r="B2" s="13"/>
      <c r="C2" s="13"/>
      <c r="D2" s="13"/>
      <c r="E2" s="13"/>
      <c r="F2" s="13"/>
      <c r="G2" s="13"/>
      <c r="H2" s="13"/>
      <c r="I2" s="13"/>
    </row>
    <row r="4" spans="1:9" ht="26.1" customHeight="1" x14ac:dyDescent="0.25">
      <c r="A4" s="8" t="s">
        <v>21</v>
      </c>
      <c r="B4" s="8" t="s">
        <v>22</v>
      </c>
      <c r="C4" s="8" t="s">
        <v>23</v>
      </c>
      <c r="D4" s="8" t="s">
        <v>24</v>
      </c>
      <c r="E4" s="8" t="s">
        <v>25</v>
      </c>
      <c r="F4" s="8" t="s">
        <v>26</v>
      </c>
      <c r="G4" s="8" t="s">
        <v>27</v>
      </c>
      <c r="H4" s="8" t="s">
        <v>28</v>
      </c>
      <c r="I4" s="8" t="s">
        <v>29</v>
      </c>
    </row>
    <row r="5" spans="1:9" x14ac:dyDescent="0.25">
      <c r="A5" s="15" t="s">
        <v>30</v>
      </c>
      <c r="B5" s="16"/>
      <c r="C5" s="16"/>
      <c r="D5" s="16"/>
      <c r="E5" s="16"/>
      <c r="F5" s="16"/>
      <c r="G5" s="16"/>
      <c r="H5" s="16"/>
      <c r="I5" s="16"/>
    </row>
    <row r="6" spans="1:9" ht="38.25" x14ac:dyDescent="0.25">
      <c r="A6" s="9" t="s">
        <v>31</v>
      </c>
      <c r="B6" s="10" t="s">
        <v>32</v>
      </c>
      <c r="C6" s="10" t="s">
        <v>33</v>
      </c>
      <c r="D6" s="10" t="s">
        <v>34</v>
      </c>
      <c r="E6" s="10" t="s">
        <v>35</v>
      </c>
      <c r="F6" s="10" t="s">
        <v>36</v>
      </c>
      <c r="G6" s="10" t="s">
        <v>37</v>
      </c>
      <c r="H6" s="10" t="s">
        <v>5</v>
      </c>
      <c r="I6" s="10"/>
    </row>
    <row r="7" spans="1:9" ht="25.5" x14ac:dyDescent="0.25">
      <c r="A7" s="9" t="s">
        <v>38</v>
      </c>
      <c r="B7" s="10" t="s">
        <v>39</v>
      </c>
      <c r="C7" s="10" t="s">
        <v>40</v>
      </c>
      <c r="D7" s="10" t="s">
        <v>34</v>
      </c>
      <c r="E7" s="10" t="s">
        <v>35</v>
      </c>
      <c r="F7" s="10" t="s">
        <v>36</v>
      </c>
      <c r="G7" s="10" t="s">
        <v>41</v>
      </c>
      <c r="H7" s="10" t="s">
        <v>7</v>
      </c>
      <c r="I7" s="10" t="s">
        <v>42</v>
      </c>
    </row>
    <row r="8" spans="1:9" ht="25.5" x14ac:dyDescent="0.25">
      <c r="A8" s="9" t="s">
        <v>43</v>
      </c>
      <c r="B8" s="10" t="s">
        <v>44</v>
      </c>
      <c r="C8" s="10" t="s">
        <v>45</v>
      </c>
      <c r="D8" s="10" t="s">
        <v>34</v>
      </c>
      <c r="E8" s="10" t="s">
        <v>35</v>
      </c>
      <c r="F8" s="10" t="s">
        <v>36</v>
      </c>
      <c r="G8" s="10" t="s">
        <v>46</v>
      </c>
      <c r="H8" s="10" t="s">
        <v>5</v>
      </c>
      <c r="I8" s="10"/>
    </row>
    <row r="9" spans="1:9" ht="25.5" x14ac:dyDescent="0.25">
      <c r="A9" s="9" t="s">
        <v>47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36</v>
      </c>
      <c r="G9" s="10" t="s">
        <v>41</v>
      </c>
      <c r="H9" s="10" t="s">
        <v>5</v>
      </c>
      <c r="I9" s="10"/>
    </row>
    <row r="10" spans="1:9" ht="25.5" x14ac:dyDescent="0.25">
      <c r="A10" s="9" t="s">
        <v>52</v>
      </c>
      <c r="B10" s="10" t="s">
        <v>53</v>
      </c>
      <c r="C10" s="10" t="s">
        <v>54</v>
      </c>
      <c r="D10" s="10" t="s">
        <v>34</v>
      </c>
      <c r="E10" s="10" t="s">
        <v>35</v>
      </c>
      <c r="F10" s="10" t="s">
        <v>36</v>
      </c>
      <c r="G10" s="10" t="s">
        <v>55</v>
      </c>
      <c r="H10" s="10" t="s">
        <v>5</v>
      </c>
      <c r="I10" s="10" t="s">
        <v>56</v>
      </c>
    </row>
    <row r="11" spans="1:9" x14ac:dyDescent="0.25">
      <c r="A11" s="9" t="s">
        <v>57</v>
      </c>
      <c r="B11" s="10" t="s">
        <v>58</v>
      </c>
      <c r="C11" s="10" t="s">
        <v>59</v>
      </c>
      <c r="D11" s="10" t="s">
        <v>60</v>
      </c>
      <c r="E11" s="10" t="s">
        <v>61</v>
      </c>
      <c r="F11" s="10" t="s">
        <v>36</v>
      </c>
      <c r="G11" s="10" t="s">
        <v>62</v>
      </c>
      <c r="H11" s="10" t="s">
        <v>5</v>
      </c>
      <c r="I11" s="10"/>
    </row>
    <row r="12" spans="1:9" x14ac:dyDescent="0.25">
      <c r="A12" s="9" t="s">
        <v>63</v>
      </c>
      <c r="B12" s="10" t="s">
        <v>64</v>
      </c>
      <c r="C12" s="10" t="s">
        <v>65</v>
      </c>
      <c r="D12" s="10" t="s">
        <v>60</v>
      </c>
      <c r="E12" s="10" t="s">
        <v>61</v>
      </c>
      <c r="F12" s="10" t="s">
        <v>36</v>
      </c>
      <c r="G12" s="10" t="s">
        <v>66</v>
      </c>
      <c r="H12" s="10" t="s">
        <v>5</v>
      </c>
      <c r="I12" s="10"/>
    </row>
    <row r="13" spans="1:9" x14ac:dyDescent="0.25">
      <c r="A13" s="9" t="s">
        <v>67</v>
      </c>
      <c r="B13" s="10" t="s">
        <v>68</v>
      </c>
      <c r="C13" s="10" t="s">
        <v>69</v>
      </c>
      <c r="D13" s="10" t="s">
        <v>60</v>
      </c>
      <c r="E13" s="10" t="s">
        <v>61</v>
      </c>
      <c r="F13" s="10" t="s">
        <v>36</v>
      </c>
      <c r="G13" s="10" t="s">
        <v>70</v>
      </c>
      <c r="H13" s="10" t="s">
        <v>5</v>
      </c>
      <c r="I13" s="10"/>
    </row>
    <row r="14" spans="1:9" ht="25.5" x14ac:dyDescent="0.25">
      <c r="A14" s="9" t="s">
        <v>71</v>
      </c>
      <c r="B14" s="10" t="s">
        <v>72</v>
      </c>
      <c r="C14" s="10" t="s">
        <v>73</v>
      </c>
      <c r="D14" s="10" t="s">
        <v>74</v>
      </c>
      <c r="E14" s="10" t="s">
        <v>75</v>
      </c>
      <c r="F14" s="10" t="s">
        <v>36</v>
      </c>
      <c r="G14" s="10" t="s">
        <v>41</v>
      </c>
      <c r="H14" s="10" t="s">
        <v>5</v>
      </c>
      <c r="I14" s="10" t="s">
        <v>76</v>
      </c>
    </row>
    <row r="15" spans="1:9" x14ac:dyDescent="0.25">
      <c r="A15" s="9" t="s">
        <v>77</v>
      </c>
      <c r="B15" s="10" t="s">
        <v>78</v>
      </c>
      <c r="C15" s="10" t="s">
        <v>79</v>
      </c>
      <c r="D15" s="10" t="s">
        <v>80</v>
      </c>
      <c r="E15" s="10" t="s">
        <v>81</v>
      </c>
      <c r="F15" s="10" t="s">
        <v>36</v>
      </c>
      <c r="G15" s="10" t="s">
        <v>82</v>
      </c>
      <c r="H15" s="10" t="s">
        <v>5</v>
      </c>
      <c r="I15" s="10"/>
    </row>
    <row r="16" spans="1:9" x14ac:dyDescent="0.25">
      <c r="A16" s="9" t="s">
        <v>83</v>
      </c>
      <c r="B16" s="10" t="s">
        <v>84</v>
      </c>
      <c r="C16" s="10" t="s">
        <v>85</v>
      </c>
      <c r="D16" s="10" t="s">
        <v>74</v>
      </c>
      <c r="E16" s="10" t="s">
        <v>75</v>
      </c>
      <c r="F16" s="10" t="s">
        <v>36</v>
      </c>
      <c r="G16" s="10" t="s">
        <v>41</v>
      </c>
      <c r="H16" s="10" t="s">
        <v>5</v>
      </c>
      <c r="I16" s="10" t="s">
        <v>86</v>
      </c>
    </row>
    <row r="17" spans="1:9" x14ac:dyDescent="0.25">
      <c r="A17" s="15" t="s">
        <v>87</v>
      </c>
      <c r="B17" s="16"/>
      <c r="C17" s="16"/>
      <c r="D17" s="16"/>
      <c r="E17" s="16"/>
      <c r="F17" s="16"/>
      <c r="G17" s="16"/>
      <c r="H17" s="16"/>
      <c r="I17" s="16"/>
    </row>
    <row r="18" spans="1:9" ht="25.5" x14ac:dyDescent="0.25">
      <c r="A18" s="9" t="s">
        <v>88</v>
      </c>
      <c r="B18" s="10" t="s">
        <v>89</v>
      </c>
      <c r="C18" s="10" t="s">
        <v>90</v>
      </c>
      <c r="D18" s="10" t="s">
        <v>34</v>
      </c>
      <c r="E18" s="10" t="s">
        <v>35</v>
      </c>
      <c r="F18" s="10" t="s">
        <v>91</v>
      </c>
      <c r="G18" s="10" t="s">
        <v>41</v>
      </c>
      <c r="H18" s="10" t="s">
        <v>5</v>
      </c>
      <c r="I18" s="10"/>
    </row>
    <row r="19" spans="1:9" ht="25.5" x14ac:dyDescent="0.25">
      <c r="A19" s="9" t="s">
        <v>92</v>
      </c>
      <c r="B19" s="10" t="s">
        <v>93</v>
      </c>
      <c r="C19" s="10" t="s">
        <v>94</v>
      </c>
      <c r="D19" s="10" t="s">
        <v>95</v>
      </c>
      <c r="E19" s="10" t="s">
        <v>96</v>
      </c>
      <c r="F19" s="10" t="s">
        <v>91</v>
      </c>
      <c r="G19" s="10" t="s">
        <v>97</v>
      </c>
      <c r="H19" s="10" t="s">
        <v>5</v>
      </c>
      <c r="I19" s="10"/>
    </row>
    <row r="20" spans="1:9" x14ac:dyDescent="0.25">
      <c r="A20" s="9" t="s">
        <v>98</v>
      </c>
      <c r="B20" s="10" t="s">
        <v>99</v>
      </c>
      <c r="C20" s="10" t="s">
        <v>100</v>
      </c>
      <c r="D20" s="10" t="s">
        <v>95</v>
      </c>
      <c r="E20" s="10" t="s">
        <v>96</v>
      </c>
      <c r="F20" s="10" t="s">
        <v>91</v>
      </c>
      <c r="G20" s="10" t="s">
        <v>41</v>
      </c>
      <c r="H20" s="10" t="s">
        <v>7</v>
      </c>
      <c r="I20" s="10" t="s">
        <v>101</v>
      </c>
    </row>
    <row r="21" spans="1:9" x14ac:dyDescent="0.25">
      <c r="A21" s="9" t="s">
        <v>102</v>
      </c>
      <c r="B21" s="10" t="s">
        <v>103</v>
      </c>
      <c r="C21" s="10" t="s">
        <v>104</v>
      </c>
      <c r="D21" s="10" t="s">
        <v>95</v>
      </c>
      <c r="E21" s="10" t="s">
        <v>96</v>
      </c>
      <c r="F21" s="10" t="s">
        <v>91</v>
      </c>
      <c r="G21" s="10" t="s">
        <v>41</v>
      </c>
      <c r="H21" s="10" t="s">
        <v>5</v>
      </c>
      <c r="I21" s="10"/>
    </row>
    <row r="22" spans="1:9" x14ac:dyDescent="0.25">
      <c r="A22" s="9" t="s">
        <v>105</v>
      </c>
      <c r="B22" s="10" t="s">
        <v>106</v>
      </c>
      <c r="C22" s="10" t="s">
        <v>107</v>
      </c>
      <c r="D22" s="10" t="s">
        <v>95</v>
      </c>
      <c r="E22" s="10" t="s">
        <v>96</v>
      </c>
      <c r="F22" s="10" t="s">
        <v>91</v>
      </c>
      <c r="G22" s="10" t="s">
        <v>41</v>
      </c>
      <c r="H22" s="10" t="s">
        <v>5</v>
      </c>
      <c r="I22" s="10"/>
    </row>
    <row r="23" spans="1:9" ht="25.5" x14ac:dyDescent="0.25">
      <c r="A23" s="9" t="s">
        <v>108</v>
      </c>
      <c r="B23" s="10" t="s">
        <v>109</v>
      </c>
      <c r="C23" s="10" t="s">
        <v>110</v>
      </c>
      <c r="D23" s="10" t="s">
        <v>95</v>
      </c>
      <c r="E23" s="10" t="s">
        <v>96</v>
      </c>
      <c r="F23" s="10" t="s">
        <v>91</v>
      </c>
      <c r="G23" s="10" t="s">
        <v>41</v>
      </c>
      <c r="H23" s="10" t="s">
        <v>5</v>
      </c>
      <c r="I23" s="10"/>
    </row>
    <row r="24" spans="1:9" x14ac:dyDescent="0.25">
      <c r="A24" s="9" t="s">
        <v>111</v>
      </c>
      <c r="B24" s="10" t="s">
        <v>112</v>
      </c>
      <c r="C24" s="10" t="s">
        <v>113</v>
      </c>
      <c r="D24" s="10" t="s">
        <v>114</v>
      </c>
      <c r="E24" s="10" t="s">
        <v>115</v>
      </c>
      <c r="F24" s="10" t="s">
        <v>91</v>
      </c>
      <c r="G24" s="10" t="s">
        <v>116</v>
      </c>
      <c r="H24" s="10" t="s">
        <v>5</v>
      </c>
      <c r="I24" s="10"/>
    </row>
    <row r="25" spans="1:9" ht="25.5" x14ac:dyDescent="0.25">
      <c r="A25" s="9" t="s">
        <v>117</v>
      </c>
      <c r="B25" s="10" t="s">
        <v>118</v>
      </c>
      <c r="C25" s="10" t="s">
        <v>119</v>
      </c>
      <c r="D25" s="10" t="s">
        <v>114</v>
      </c>
      <c r="E25" s="10" t="s">
        <v>115</v>
      </c>
      <c r="F25" s="10" t="s">
        <v>91</v>
      </c>
      <c r="G25" s="10" t="s">
        <v>120</v>
      </c>
      <c r="H25" s="10" t="s">
        <v>5</v>
      </c>
      <c r="I25" s="10" t="s">
        <v>121</v>
      </c>
    </row>
    <row r="26" spans="1:9" x14ac:dyDescent="0.25">
      <c r="A26" s="15" t="s">
        <v>122</v>
      </c>
      <c r="B26" s="16"/>
      <c r="C26" s="16"/>
      <c r="D26" s="16"/>
      <c r="E26" s="16"/>
      <c r="F26" s="16"/>
      <c r="G26" s="16"/>
      <c r="H26" s="16"/>
      <c r="I26" s="16"/>
    </row>
    <row r="27" spans="1:9" ht="25.5" x14ac:dyDescent="0.25">
      <c r="A27" s="9" t="s">
        <v>123</v>
      </c>
      <c r="B27" s="10" t="s">
        <v>124</v>
      </c>
      <c r="C27" s="10" t="s">
        <v>125</v>
      </c>
      <c r="D27" s="10" t="s">
        <v>74</v>
      </c>
      <c r="E27" s="10" t="s">
        <v>75</v>
      </c>
      <c r="F27" s="10" t="s">
        <v>126</v>
      </c>
      <c r="G27" s="10" t="s">
        <v>127</v>
      </c>
      <c r="H27" s="10" t="s">
        <v>5</v>
      </c>
      <c r="I27" s="10"/>
    </row>
    <row r="28" spans="1:9" ht="38.25" x14ac:dyDescent="0.25">
      <c r="A28" s="9" t="s">
        <v>128</v>
      </c>
      <c r="B28" s="10" t="s">
        <v>129</v>
      </c>
      <c r="C28" s="10" t="s">
        <v>130</v>
      </c>
      <c r="D28" s="10" t="s">
        <v>80</v>
      </c>
      <c r="E28" s="10" t="s">
        <v>81</v>
      </c>
      <c r="F28" s="10" t="s">
        <v>126</v>
      </c>
      <c r="G28" s="10" t="s">
        <v>131</v>
      </c>
      <c r="H28" s="10" t="s">
        <v>5</v>
      </c>
      <c r="I28" s="10" t="s">
        <v>132</v>
      </c>
    </row>
    <row r="29" spans="1:9" ht="25.5" x14ac:dyDescent="0.25">
      <c r="A29" s="9" t="s">
        <v>133</v>
      </c>
      <c r="B29" s="10" t="s">
        <v>134</v>
      </c>
      <c r="C29" s="10" t="s">
        <v>135</v>
      </c>
      <c r="D29" s="10" t="s">
        <v>80</v>
      </c>
      <c r="E29" s="10" t="s">
        <v>81</v>
      </c>
      <c r="F29" s="10" t="s">
        <v>126</v>
      </c>
      <c r="G29" s="10" t="s">
        <v>136</v>
      </c>
      <c r="H29" s="10" t="s">
        <v>5</v>
      </c>
      <c r="I29" s="10" t="s">
        <v>137</v>
      </c>
    </row>
    <row r="30" spans="1:9" ht="25.5" x14ac:dyDescent="0.25">
      <c r="A30" s="9" t="s">
        <v>138</v>
      </c>
      <c r="B30" s="10" t="s">
        <v>139</v>
      </c>
      <c r="C30" s="10" t="s">
        <v>140</v>
      </c>
      <c r="D30" s="10" t="s">
        <v>141</v>
      </c>
      <c r="E30" s="10" t="s">
        <v>142</v>
      </c>
      <c r="F30" s="10" t="s">
        <v>126</v>
      </c>
      <c r="G30" s="10" t="s">
        <v>143</v>
      </c>
      <c r="H30" s="10" t="s">
        <v>5</v>
      </c>
      <c r="I30" s="10"/>
    </row>
    <row r="31" spans="1:9" ht="25.5" x14ac:dyDescent="0.25">
      <c r="A31" s="9" t="s">
        <v>144</v>
      </c>
      <c r="B31" s="10" t="s">
        <v>145</v>
      </c>
      <c r="C31" s="10" t="s">
        <v>146</v>
      </c>
      <c r="D31" s="10" t="s">
        <v>95</v>
      </c>
      <c r="E31" s="10" t="s">
        <v>96</v>
      </c>
      <c r="F31" s="10" t="s">
        <v>126</v>
      </c>
      <c r="G31" s="10" t="s">
        <v>147</v>
      </c>
      <c r="H31" s="10" t="s">
        <v>5</v>
      </c>
      <c r="I31" s="10"/>
    </row>
    <row r="32" spans="1:9" x14ac:dyDescent="0.25">
      <c r="A32" s="9" t="s">
        <v>148</v>
      </c>
      <c r="B32" s="10" t="s">
        <v>149</v>
      </c>
      <c r="C32" s="10" t="s">
        <v>150</v>
      </c>
      <c r="D32" s="10" t="s">
        <v>74</v>
      </c>
      <c r="E32" s="10" t="s">
        <v>75</v>
      </c>
      <c r="F32" s="10" t="s">
        <v>151</v>
      </c>
      <c r="G32" s="10" t="s">
        <v>152</v>
      </c>
      <c r="H32" s="10" t="s">
        <v>5</v>
      </c>
      <c r="I32" s="10"/>
    </row>
    <row r="33" spans="1:9" ht="25.5" x14ac:dyDescent="0.25">
      <c r="A33" s="9" t="s">
        <v>153</v>
      </c>
      <c r="B33" s="10" t="s">
        <v>154</v>
      </c>
      <c r="C33" s="10" t="s">
        <v>155</v>
      </c>
      <c r="D33" s="10" t="s">
        <v>141</v>
      </c>
      <c r="E33" s="10" t="s">
        <v>142</v>
      </c>
      <c r="F33" s="10" t="s">
        <v>126</v>
      </c>
      <c r="G33" s="10" t="s">
        <v>41</v>
      </c>
      <c r="H33" s="10" t="s">
        <v>5</v>
      </c>
      <c r="I33" s="10" t="s">
        <v>156</v>
      </c>
    </row>
    <row r="34" spans="1:9" ht="25.5" x14ac:dyDescent="0.25">
      <c r="A34" s="9" t="s">
        <v>157</v>
      </c>
      <c r="B34" s="10" t="s">
        <v>158</v>
      </c>
      <c r="C34" s="10" t="s">
        <v>159</v>
      </c>
      <c r="D34" s="10" t="s">
        <v>160</v>
      </c>
      <c r="E34" s="10" t="s">
        <v>161</v>
      </c>
      <c r="F34" s="10" t="s">
        <v>126</v>
      </c>
      <c r="G34" s="10" t="s">
        <v>162</v>
      </c>
      <c r="H34" s="10" t="s">
        <v>5</v>
      </c>
      <c r="I34" s="10"/>
    </row>
    <row r="35" spans="1:9" x14ac:dyDescent="0.25">
      <c r="A35" s="15" t="s">
        <v>163</v>
      </c>
      <c r="B35" s="16"/>
      <c r="C35" s="16"/>
      <c r="D35" s="16"/>
      <c r="E35" s="16"/>
      <c r="F35" s="16"/>
      <c r="G35" s="16"/>
      <c r="H35" s="16"/>
      <c r="I35" s="16"/>
    </row>
    <row r="36" spans="1:9" ht="25.5" x14ac:dyDescent="0.25">
      <c r="A36" s="9" t="s">
        <v>164</v>
      </c>
      <c r="B36" s="10" t="s">
        <v>165</v>
      </c>
      <c r="C36" s="10" t="s">
        <v>166</v>
      </c>
      <c r="D36" s="10" t="s">
        <v>34</v>
      </c>
      <c r="E36" s="10" t="s">
        <v>35</v>
      </c>
      <c r="F36" s="10" t="s">
        <v>151</v>
      </c>
      <c r="G36" s="10" t="s">
        <v>152</v>
      </c>
      <c r="H36" s="10" t="s">
        <v>5</v>
      </c>
      <c r="I36" s="10"/>
    </row>
    <row r="37" spans="1:9" ht="25.5" x14ac:dyDescent="0.25">
      <c r="A37" s="9" t="s">
        <v>167</v>
      </c>
      <c r="B37" s="10" t="s">
        <v>168</v>
      </c>
      <c r="C37" s="10" t="s">
        <v>169</v>
      </c>
      <c r="D37" s="10" t="s">
        <v>74</v>
      </c>
      <c r="E37" s="10" t="s">
        <v>75</v>
      </c>
      <c r="F37" s="10" t="s">
        <v>151</v>
      </c>
      <c r="G37" s="10" t="s">
        <v>41</v>
      </c>
      <c r="H37" s="10" t="s">
        <v>5</v>
      </c>
      <c r="I37" s="10"/>
    </row>
    <row r="38" spans="1:9" ht="25.5" x14ac:dyDescent="0.25">
      <c r="A38" s="9" t="s">
        <v>170</v>
      </c>
      <c r="B38" s="10" t="s">
        <v>171</v>
      </c>
      <c r="C38" s="10" t="s">
        <v>172</v>
      </c>
      <c r="D38" s="10" t="s">
        <v>74</v>
      </c>
      <c r="E38" s="10" t="s">
        <v>75</v>
      </c>
      <c r="F38" s="10" t="s">
        <v>151</v>
      </c>
      <c r="G38" s="10" t="s">
        <v>173</v>
      </c>
      <c r="H38" s="10" t="s">
        <v>5</v>
      </c>
      <c r="I38" s="10" t="s">
        <v>174</v>
      </c>
    </row>
    <row r="39" spans="1:9" ht="25.5" x14ac:dyDescent="0.25">
      <c r="A39" s="9" t="s">
        <v>175</v>
      </c>
      <c r="B39" s="10" t="s">
        <v>176</v>
      </c>
      <c r="C39" s="10" t="s">
        <v>177</v>
      </c>
      <c r="D39" s="10" t="s">
        <v>50</v>
      </c>
      <c r="E39" s="10" t="s">
        <v>51</v>
      </c>
      <c r="F39" s="10" t="s">
        <v>151</v>
      </c>
      <c r="G39" s="10" t="s">
        <v>178</v>
      </c>
      <c r="H39" s="10" t="s">
        <v>5</v>
      </c>
      <c r="I39" s="10" t="s">
        <v>179</v>
      </c>
    </row>
    <row r="40" spans="1:9" ht="25.5" x14ac:dyDescent="0.25">
      <c r="A40" s="9" t="s">
        <v>180</v>
      </c>
      <c r="B40" s="10" t="s">
        <v>181</v>
      </c>
      <c r="C40" s="10" t="s">
        <v>182</v>
      </c>
      <c r="D40" s="10" t="s">
        <v>183</v>
      </c>
      <c r="E40" s="10" t="s">
        <v>184</v>
      </c>
      <c r="F40" s="10" t="s">
        <v>151</v>
      </c>
      <c r="G40" s="10" t="s">
        <v>185</v>
      </c>
      <c r="H40" s="10" t="s">
        <v>8</v>
      </c>
      <c r="I40" s="10" t="s">
        <v>186</v>
      </c>
    </row>
    <row r="41" spans="1:9" ht="25.5" x14ac:dyDescent="0.25">
      <c r="A41" s="9" t="s">
        <v>187</v>
      </c>
      <c r="B41" s="10" t="s">
        <v>188</v>
      </c>
      <c r="C41" s="10" t="s">
        <v>189</v>
      </c>
      <c r="D41" s="10" t="s">
        <v>74</v>
      </c>
      <c r="E41" s="10" t="s">
        <v>75</v>
      </c>
      <c r="F41" s="10" t="s">
        <v>151</v>
      </c>
      <c r="G41" s="10" t="s">
        <v>41</v>
      </c>
      <c r="H41" s="10" t="s">
        <v>5</v>
      </c>
      <c r="I41" s="10"/>
    </row>
    <row r="42" spans="1:9" x14ac:dyDescent="0.25">
      <c r="A42" s="15" t="s">
        <v>190</v>
      </c>
      <c r="B42" s="16"/>
      <c r="C42" s="16"/>
      <c r="D42" s="16"/>
      <c r="E42" s="16"/>
      <c r="F42" s="16"/>
      <c r="G42" s="16"/>
      <c r="H42" s="16"/>
      <c r="I42" s="16"/>
    </row>
    <row r="43" spans="1:9" ht="25.5" x14ac:dyDescent="0.25">
      <c r="A43" s="9" t="s">
        <v>191</v>
      </c>
      <c r="B43" s="10" t="s">
        <v>192</v>
      </c>
      <c r="C43" s="10" t="s">
        <v>193</v>
      </c>
      <c r="D43" s="10" t="s">
        <v>34</v>
      </c>
      <c r="E43" s="10" t="s">
        <v>35</v>
      </c>
      <c r="F43" s="10" t="s">
        <v>194</v>
      </c>
      <c r="G43" s="10" t="s">
        <v>195</v>
      </c>
      <c r="H43" s="10" t="s">
        <v>5</v>
      </c>
      <c r="I43" s="10" t="s">
        <v>196</v>
      </c>
    </row>
    <row r="44" spans="1:9" ht="25.5" x14ac:dyDescent="0.25">
      <c r="A44" s="9" t="s">
        <v>197</v>
      </c>
      <c r="B44" s="10" t="s">
        <v>198</v>
      </c>
      <c r="C44" s="10" t="s">
        <v>199</v>
      </c>
      <c r="D44" s="10" t="s">
        <v>95</v>
      </c>
      <c r="E44" s="10" t="s">
        <v>96</v>
      </c>
      <c r="F44" s="10" t="s">
        <v>194</v>
      </c>
      <c r="G44" s="10" t="s">
        <v>41</v>
      </c>
      <c r="H44" s="10" t="s">
        <v>5</v>
      </c>
      <c r="I44" s="10" t="s">
        <v>200</v>
      </c>
    </row>
    <row r="45" spans="1:9" ht="25.5" x14ac:dyDescent="0.25">
      <c r="A45" s="9" t="s">
        <v>201</v>
      </c>
      <c r="B45" s="10" t="s">
        <v>202</v>
      </c>
      <c r="C45" s="10" t="s">
        <v>203</v>
      </c>
      <c r="D45" s="10" t="s">
        <v>80</v>
      </c>
      <c r="E45" s="10" t="s">
        <v>81</v>
      </c>
      <c r="F45" s="10" t="s">
        <v>194</v>
      </c>
      <c r="G45" s="10" t="s">
        <v>41</v>
      </c>
      <c r="H45" s="10" t="s">
        <v>5</v>
      </c>
      <c r="I45" s="10" t="s">
        <v>204</v>
      </c>
    </row>
    <row r="46" spans="1:9" ht="25.5" x14ac:dyDescent="0.25">
      <c r="A46" s="9" t="s">
        <v>205</v>
      </c>
      <c r="B46" s="10" t="s">
        <v>206</v>
      </c>
      <c r="C46" s="10" t="s">
        <v>207</v>
      </c>
      <c r="D46" s="10" t="s">
        <v>208</v>
      </c>
      <c r="E46" s="10" t="s">
        <v>209</v>
      </c>
      <c r="F46" s="10" t="s">
        <v>194</v>
      </c>
      <c r="G46" s="10" t="s">
        <v>210</v>
      </c>
      <c r="H46" s="10" t="s">
        <v>5</v>
      </c>
      <c r="I46" s="10"/>
    </row>
    <row r="47" spans="1:9" ht="25.5" x14ac:dyDescent="0.25">
      <c r="A47" s="9" t="s">
        <v>211</v>
      </c>
      <c r="B47" s="10" t="s">
        <v>212</v>
      </c>
      <c r="C47" s="10" t="s">
        <v>213</v>
      </c>
      <c r="D47" s="10" t="s">
        <v>214</v>
      </c>
      <c r="E47" s="10" t="s">
        <v>215</v>
      </c>
      <c r="F47" s="10" t="s">
        <v>194</v>
      </c>
      <c r="G47" s="10" t="s">
        <v>41</v>
      </c>
      <c r="H47" s="10" t="s">
        <v>5</v>
      </c>
      <c r="I47" s="10" t="s">
        <v>216</v>
      </c>
    </row>
    <row r="48" spans="1:9" x14ac:dyDescent="0.25">
      <c r="A48" s="9" t="s">
        <v>217</v>
      </c>
      <c r="B48" s="10" t="s">
        <v>218</v>
      </c>
      <c r="C48" s="10" t="s">
        <v>219</v>
      </c>
      <c r="D48" s="10" t="s">
        <v>80</v>
      </c>
      <c r="E48" s="10" t="s">
        <v>81</v>
      </c>
      <c r="F48" s="10" t="s">
        <v>194</v>
      </c>
      <c r="G48" s="10" t="s">
        <v>178</v>
      </c>
      <c r="H48" s="10" t="s">
        <v>5</v>
      </c>
      <c r="I48" s="10"/>
    </row>
    <row r="49" spans="1:9" x14ac:dyDescent="0.25">
      <c r="A49" s="9" t="s">
        <v>220</v>
      </c>
      <c r="B49" s="10" t="s">
        <v>221</v>
      </c>
      <c r="C49" s="10" t="s">
        <v>222</v>
      </c>
      <c r="D49" s="10" t="s">
        <v>160</v>
      </c>
      <c r="E49" s="10" t="s">
        <v>161</v>
      </c>
      <c r="F49" s="10" t="s">
        <v>194</v>
      </c>
      <c r="G49" s="10" t="s">
        <v>147</v>
      </c>
      <c r="H49" s="10" t="s">
        <v>5</v>
      </c>
      <c r="I49" s="10"/>
    </row>
    <row r="50" spans="1:9" ht="25.5" x14ac:dyDescent="0.25">
      <c r="A50" s="9" t="s">
        <v>223</v>
      </c>
      <c r="B50" s="10" t="s">
        <v>224</v>
      </c>
      <c r="C50" s="10" t="s">
        <v>225</v>
      </c>
      <c r="D50" s="10" t="s">
        <v>160</v>
      </c>
      <c r="E50" s="10" t="s">
        <v>161</v>
      </c>
      <c r="F50" s="10" t="s">
        <v>194</v>
      </c>
      <c r="G50" s="10" t="s">
        <v>41</v>
      </c>
      <c r="H50" s="10" t="s">
        <v>5</v>
      </c>
      <c r="I50" s="10"/>
    </row>
    <row r="51" spans="1:9" ht="25.5" x14ac:dyDescent="0.25">
      <c r="A51" s="9" t="s">
        <v>226</v>
      </c>
      <c r="B51" s="10" t="s">
        <v>227</v>
      </c>
      <c r="C51" s="10" t="s">
        <v>228</v>
      </c>
      <c r="D51" s="10" t="s">
        <v>214</v>
      </c>
      <c r="E51" s="10" t="s">
        <v>215</v>
      </c>
      <c r="F51" s="10" t="s">
        <v>194</v>
      </c>
      <c r="G51" s="10" t="s">
        <v>229</v>
      </c>
      <c r="H51" s="10" t="s">
        <v>5</v>
      </c>
      <c r="I51" s="10" t="s">
        <v>230</v>
      </c>
    </row>
    <row r="52" spans="1:9" x14ac:dyDescent="0.25">
      <c r="A52" s="9" t="s">
        <v>231</v>
      </c>
      <c r="B52" s="10" t="s">
        <v>232</v>
      </c>
      <c r="C52" s="10" t="s">
        <v>233</v>
      </c>
      <c r="D52" s="10" t="s">
        <v>214</v>
      </c>
      <c r="E52" s="10" t="s">
        <v>215</v>
      </c>
      <c r="F52" s="10" t="s">
        <v>194</v>
      </c>
      <c r="G52" s="10" t="s">
        <v>210</v>
      </c>
      <c r="H52" s="10" t="s">
        <v>5</v>
      </c>
      <c r="I52" s="10" t="s">
        <v>234</v>
      </c>
    </row>
    <row r="53" spans="1:9" ht="25.5" x14ac:dyDescent="0.25">
      <c r="A53" s="9" t="s">
        <v>235</v>
      </c>
      <c r="B53" s="10" t="s">
        <v>236</v>
      </c>
      <c r="C53" s="10" t="s">
        <v>237</v>
      </c>
      <c r="D53" s="10" t="s">
        <v>238</v>
      </c>
      <c r="E53" s="10" t="s">
        <v>239</v>
      </c>
      <c r="F53" s="10" t="s">
        <v>194</v>
      </c>
      <c r="G53" s="10" t="s">
        <v>143</v>
      </c>
      <c r="H53" s="10" t="s">
        <v>5</v>
      </c>
      <c r="I53" s="10" t="s">
        <v>240</v>
      </c>
    </row>
    <row r="54" spans="1:9" x14ac:dyDescent="0.25">
      <c r="A54" s="15" t="s">
        <v>241</v>
      </c>
      <c r="B54" s="16"/>
      <c r="C54" s="16"/>
      <c r="D54" s="16"/>
      <c r="E54" s="16"/>
      <c r="F54" s="16"/>
      <c r="G54" s="16"/>
      <c r="H54" s="16"/>
      <c r="I54" s="16"/>
    </row>
    <row r="55" spans="1:9" ht="25.5" x14ac:dyDescent="0.25">
      <c r="A55" s="9" t="s">
        <v>242</v>
      </c>
      <c r="B55" s="10" t="s">
        <v>243</v>
      </c>
      <c r="C55" s="10" t="s">
        <v>244</v>
      </c>
      <c r="D55" s="10" t="s">
        <v>214</v>
      </c>
      <c r="E55" s="10" t="s">
        <v>215</v>
      </c>
      <c r="F55" s="10" t="s">
        <v>245</v>
      </c>
      <c r="G55" s="10" t="s">
        <v>246</v>
      </c>
      <c r="H55" s="10" t="s">
        <v>5</v>
      </c>
      <c r="I55" s="10"/>
    </row>
    <row r="56" spans="1:9" ht="25.5" x14ac:dyDescent="0.25">
      <c r="A56" s="9" t="s">
        <v>247</v>
      </c>
      <c r="B56" s="10" t="s">
        <v>248</v>
      </c>
      <c r="C56" s="10" t="s">
        <v>249</v>
      </c>
      <c r="D56" s="10" t="s">
        <v>114</v>
      </c>
      <c r="E56" s="10" t="s">
        <v>115</v>
      </c>
      <c r="F56" s="10" t="s">
        <v>245</v>
      </c>
      <c r="G56" s="10" t="s">
        <v>41</v>
      </c>
      <c r="H56" s="10" t="s">
        <v>5</v>
      </c>
      <c r="I56" s="10"/>
    </row>
    <row r="57" spans="1:9" ht="25.5" x14ac:dyDescent="0.25">
      <c r="A57" s="9" t="s">
        <v>250</v>
      </c>
      <c r="B57" s="10" t="s">
        <v>251</v>
      </c>
      <c r="C57" s="10" t="s">
        <v>252</v>
      </c>
      <c r="D57" s="10" t="s">
        <v>253</v>
      </c>
      <c r="E57" s="10" t="s">
        <v>254</v>
      </c>
      <c r="F57" s="10" t="s">
        <v>245</v>
      </c>
      <c r="G57" s="10" t="s">
        <v>255</v>
      </c>
      <c r="H57" s="10" t="s">
        <v>5</v>
      </c>
      <c r="I57" s="10" t="s">
        <v>256</v>
      </c>
    </row>
    <row r="58" spans="1:9" ht="25.5" x14ac:dyDescent="0.25">
      <c r="A58" s="9" t="s">
        <v>257</v>
      </c>
      <c r="B58" s="10" t="s">
        <v>258</v>
      </c>
      <c r="C58" s="10" t="s">
        <v>259</v>
      </c>
      <c r="D58" s="10" t="s">
        <v>260</v>
      </c>
      <c r="E58" s="10" t="s">
        <v>261</v>
      </c>
      <c r="F58" s="10" t="s">
        <v>245</v>
      </c>
      <c r="G58" s="10" t="s">
        <v>41</v>
      </c>
      <c r="H58" s="10" t="s">
        <v>5</v>
      </c>
      <c r="I58" s="10"/>
    </row>
    <row r="59" spans="1:9" x14ac:dyDescent="0.25">
      <c r="A59" s="9" t="s">
        <v>262</v>
      </c>
      <c r="B59" s="10" t="s">
        <v>263</v>
      </c>
      <c r="C59" s="10" t="s">
        <v>264</v>
      </c>
      <c r="D59" s="10" t="s">
        <v>260</v>
      </c>
      <c r="E59" s="10" t="s">
        <v>261</v>
      </c>
      <c r="F59" s="10" t="s">
        <v>245</v>
      </c>
      <c r="G59" s="10" t="s">
        <v>41</v>
      </c>
      <c r="H59" s="10" t="s">
        <v>5</v>
      </c>
      <c r="I59" s="10"/>
    </row>
    <row r="60" spans="1:9" x14ac:dyDescent="0.25">
      <c r="A60" s="9" t="s">
        <v>265</v>
      </c>
      <c r="B60" s="10" t="s">
        <v>266</v>
      </c>
      <c r="C60" s="10" t="s">
        <v>267</v>
      </c>
      <c r="D60" s="10" t="s">
        <v>260</v>
      </c>
      <c r="E60" s="10" t="s">
        <v>261</v>
      </c>
      <c r="F60" s="10" t="s">
        <v>245</v>
      </c>
      <c r="G60" s="10" t="s">
        <v>268</v>
      </c>
      <c r="H60" s="10" t="s">
        <v>5</v>
      </c>
      <c r="I60" s="10" t="s">
        <v>269</v>
      </c>
    </row>
    <row r="61" spans="1:9" x14ac:dyDescent="0.25">
      <c r="A61" s="15" t="s">
        <v>270</v>
      </c>
      <c r="B61" s="16"/>
      <c r="C61" s="16"/>
      <c r="D61" s="16"/>
      <c r="E61" s="16"/>
      <c r="F61" s="16"/>
      <c r="G61" s="16"/>
      <c r="H61" s="16"/>
      <c r="I61" s="16"/>
    </row>
    <row r="62" spans="1:9" x14ac:dyDescent="0.25">
      <c r="A62" s="9" t="s">
        <v>271</v>
      </c>
      <c r="B62" s="10" t="s">
        <v>272</v>
      </c>
      <c r="C62" s="10" t="s">
        <v>273</v>
      </c>
      <c r="D62" s="10" t="s">
        <v>260</v>
      </c>
      <c r="E62" s="10" t="s">
        <v>261</v>
      </c>
      <c r="F62" s="10" t="s">
        <v>274</v>
      </c>
      <c r="G62" s="10" t="s">
        <v>246</v>
      </c>
      <c r="H62" s="10" t="s">
        <v>5</v>
      </c>
      <c r="I62" s="10"/>
    </row>
    <row r="63" spans="1:9" ht="25.5" x14ac:dyDescent="0.25">
      <c r="A63" s="9" t="s">
        <v>275</v>
      </c>
      <c r="B63" s="10" t="s">
        <v>276</v>
      </c>
      <c r="C63" s="10" t="s">
        <v>277</v>
      </c>
      <c r="D63" s="10" t="s">
        <v>278</v>
      </c>
      <c r="E63" s="10" t="s">
        <v>279</v>
      </c>
      <c r="F63" s="10" t="s">
        <v>274</v>
      </c>
      <c r="G63" s="10" t="s">
        <v>246</v>
      </c>
      <c r="H63" s="10" t="s">
        <v>5</v>
      </c>
      <c r="I63" s="10"/>
    </row>
    <row r="64" spans="1:9" ht="25.5" x14ac:dyDescent="0.25">
      <c r="A64" s="9" t="s">
        <v>280</v>
      </c>
      <c r="B64" s="10" t="s">
        <v>281</v>
      </c>
      <c r="C64" s="10" t="s">
        <v>282</v>
      </c>
      <c r="D64" s="10" t="s">
        <v>278</v>
      </c>
      <c r="E64" s="10" t="s">
        <v>279</v>
      </c>
      <c r="F64" s="10" t="s">
        <v>274</v>
      </c>
      <c r="G64" s="10" t="s">
        <v>41</v>
      </c>
      <c r="H64" s="10" t="s">
        <v>5</v>
      </c>
      <c r="I64" s="10"/>
    </row>
    <row r="65" spans="1:9" ht="25.5" x14ac:dyDescent="0.25">
      <c r="A65" s="9" t="s">
        <v>283</v>
      </c>
      <c r="B65" s="10" t="s">
        <v>284</v>
      </c>
      <c r="C65" s="10" t="s">
        <v>285</v>
      </c>
      <c r="D65" s="10" t="s">
        <v>278</v>
      </c>
      <c r="E65" s="10" t="s">
        <v>279</v>
      </c>
      <c r="F65" s="10" t="s">
        <v>274</v>
      </c>
      <c r="G65" s="10" t="s">
        <v>41</v>
      </c>
      <c r="H65" s="10" t="s">
        <v>5</v>
      </c>
      <c r="I65" s="10"/>
    </row>
    <row r="66" spans="1:9" x14ac:dyDescent="0.25">
      <c r="A66" s="15" t="s">
        <v>286</v>
      </c>
      <c r="B66" s="16"/>
      <c r="C66" s="16"/>
      <c r="D66" s="16"/>
      <c r="E66" s="16"/>
      <c r="F66" s="16"/>
      <c r="G66" s="16"/>
      <c r="H66" s="16"/>
      <c r="I66" s="16"/>
    </row>
    <row r="67" spans="1:9" x14ac:dyDescent="0.25">
      <c r="A67" s="9" t="s">
        <v>287</v>
      </c>
      <c r="B67" s="10" t="s">
        <v>288</v>
      </c>
      <c r="C67" s="10" t="s">
        <v>289</v>
      </c>
      <c r="D67" s="10" t="s">
        <v>290</v>
      </c>
      <c r="E67" s="10" t="s">
        <v>291</v>
      </c>
      <c r="F67" s="10" t="s">
        <v>292</v>
      </c>
      <c r="G67" s="10" t="s">
        <v>293</v>
      </c>
      <c r="H67" s="10" t="s">
        <v>5</v>
      </c>
      <c r="I67" s="10"/>
    </row>
    <row r="68" spans="1:9" x14ac:dyDescent="0.25">
      <c r="A68" s="9" t="s">
        <v>294</v>
      </c>
      <c r="B68" s="10" t="s">
        <v>295</v>
      </c>
      <c r="C68" s="10" t="s">
        <v>296</v>
      </c>
      <c r="D68" s="10" t="s">
        <v>290</v>
      </c>
      <c r="E68" s="10" t="s">
        <v>291</v>
      </c>
      <c r="F68" s="10" t="s">
        <v>292</v>
      </c>
      <c r="G68" s="10" t="s">
        <v>297</v>
      </c>
      <c r="H68" s="10" t="s">
        <v>5</v>
      </c>
      <c r="I68" s="10"/>
    </row>
    <row r="69" spans="1:9" x14ac:dyDescent="0.25">
      <c r="A69" s="9" t="s">
        <v>298</v>
      </c>
      <c r="B69" s="10" t="s">
        <v>299</v>
      </c>
      <c r="C69" s="10" t="s">
        <v>300</v>
      </c>
      <c r="D69" s="10" t="s">
        <v>290</v>
      </c>
      <c r="E69" s="10" t="s">
        <v>291</v>
      </c>
      <c r="F69" s="10" t="s">
        <v>292</v>
      </c>
      <c r="G69" s="10" t="s">
        <v>301</v>
      </c>
      <c r="H69" s="10" t="s">
        <v>5</v>
      </c>
      <c r="I69" s="10"/>
    </row>
    <row r="70" spans="1:9" ht="25.5" x14ac:dyDescent="0.25">
      <c r="A70" s="9" t="s">
        <v>302</v>
      </c>
      <c r="B70" s="10" t="s">
        <v>303</v>
      </c>
      <c r="C70" s="10" t="s">
        <v>304</v>
      </c>
      <c r="D70" s="10" t="s">
        <v>290</v>
      </c>
      <c r="E70" s="10" t="s">
        <v>291</v>
      </c>
      <c r="F70" s="10" t="s">
        <v>292</v>
      </c>
      <c r="G70" s="10" t="s">
        <v>301</v>
      </c>
      <c r="H70" s="10" t="s">
        <v>5</v>
      </c>
      <c r="I70" s="10"/>
    </row>
    <row r="71" spans="1:9" ht="25.5" x14ac:dyDescent="0.25">
      <c r="A71" s="9" t="s">
        <v>305</v>
      </c>
      <c r="B71" s="10" t="s">
        <v>306</v>
      </c>
      <c r="C71" s="10" t="s">
        <v>307</v>
      </c>
      <c r="D71" s="10" t="s">
        <v>290</v>
      </c>
      <c r="E71" s="10" t="s">
        <v>291</v>
      </c>
      <c r="F71" s="10" t="s">
        <v>292</v>
      </c>
      <c r="G71" s="10" t="s">
        <v>41</v>
      </c>
      <c r="H71" s="10" t="s">
        <v>5</v>
      </c>
      <c r="I71" s="10"/>
    </row>
    <row r="72" spans="1:9" ht="25.5" x14ac:dyDescent="0.25">
      <c r="A72" s="9" t="s">
        <v>308</v>
      </c>
      <c r="B72" s="10" t="s">
        <v>309</v>
      </c>
      <c r="C72" s="10" t="s">
        <v>310</v>
      </c>
      <c r="D72" s="10" t="s">
        <v>290</v>
      </c>
      <c r="E72" s="10" t="s">
        <v>291</v>
      </c>
      <c r="F72" s="10" t="s">
        <v>292</v>
      </c>
      <c r="G72" s="10" t="s">
        <v>311</v>
      </c>
      <c r="H72" s="10" t="s">
        <v>5</v>
      </c>
      <c r="I72" s="10"/>
    </row>
    <row r="73" spans="1:9" ht="25.5" x14ac:dyDescent="0.25">
      <c r="A73" s="9" t="s">
        <v>312</v>
      </c>
      <c r="B73" s="10" t="s">
        <v>313</v>
      </c>
      <c r="C73" s="10" t="s">
        <v>314</v>
      </c>
      <c r="D73" s="10" t="s">
        <v>290</v>
      </c>
      <c r="E73" s="10" t="s">
        <v>291</v>
      </c>
      <c r="F73" s="10" t="s">
        <v>292</v>
      </c>
      <c r="G73" s="10" t="s">
        <v>315</v>
      </c>
      <c r="H73" s="10" t="s">
        <v>5</v>
      </c>
      <c r="I73" s="10"/>
    </row>
    <row r="74" spans="1:9" x14ac:dyDescent="0.25">
      <c r="A74" s="15" t="s">
        <v>316</v>
      </c>
      <c r="B74" s="16"/>
      <c r="C74" s="16"/>
      <c r="D74" s="16"/>
      <c r="E74" s="16"/>
      <c r="F74" s="16"/>
      <c r="G74" s="16"/>
      <c r="H74" s="16"/>
      <c r="I74" s="16"/>
    </row>
    <row r="75" spans="1:9" ht="25.5" x14ac:dyDescent="0.25">
      <c r="A75" s="9" t="s">
        <v>317</v>
      </c>
      <c r="B75" s="10" t="s">
        <v>318</v>
      </c>
      <c r="C75" s="10" t="s">
        <v>319</v>
      </c>
      <c r="D75" s="10" t="s">
        <v>74</v>
      </c>
      <c r="E75" s="10" t="s">
        <v>75</v>
      </c>
      <c r="F75" s="10" t="s">
        <v>320</v>
      </c>
      <c r="G75" s="10" t="s">
        <v>41</v>
      </c>
      <c r="H75" s="10" t="s">
        <v>5</v>
      </c>
      <c r="I75" s="10" t="s">
        <v>321</v>
      </c>
    </row>
    <row r="76" spans="1:9" x14ac:dyDescent="0.25">
      <c r="A76" s="9" t="s">
        <v>322</v>
      </c>
      <c r="B76" s="10" t="s">
        <v>323</v>
      </c>
      <c r="C76" s="10" t="s">
        <v>324</v>
      </c>
      <c r="D76" s="10" t="s">
        <v>325</v>
      </c>
      <c r="E76" s="10" t="s">
        <v>326</v>
      </c>
      <c r="F76" s="10" t="s">
        <v>327</v>
      </c>
      <c r="G76" s="10" t="s">
        <v>328</v>
      </c>
      <c r="H76" s="10" t="s">
        <v>5</v>
      </c>
      <c r="I76" s="10"/>
    </row>
    <row r="77" spans="1:9" ht="25.5" x14ac:dyDescent="0.25">
      <c r="A77" s="9" t="s">
        <v>329</v>
      </c>
      <c r="B77" s="10" t="s">
        <v>330</v>
      </c>
      <c r="C77" s="10" t="s">
        <v>331</v>
      </c>
      <c r="D77" s="10" t="s">
        <v>332</v>
      </c>
      <c r="E77" s="10" t="s">
        <v>333</v>
      </c>
      <c r="F77" s="10" t="s">
        <v>327</v>
      </c>
      <c r="G77" s="10" t="s">
        <v>334</v>
      </c>
      <c r="H77" s="10" t="s">
        <v>5</v>
      </c>
      <c r="I77" s="10"/>
    </row>
    <row r="78" spans="1:9" ht="25.5" x14ac:dyDescent="0.25">
      <c r="A78" s="9" t="s">
        <v>335</v>
      </c>
      <c r="B78" s="10" t="s">
        <v>336</v>
      </c>
      <c r="C78" s="10" t="s">
        <v>337</v>
      </c>
      <c r="D78" s="10" t="s">
        <v>332</v>
      </c>
      <c r="E78" s="10" t="s">
        <v>333</v>
      </c>
      <c r="F78" s="10" t="s">
        <v>327</v>
      </c>
      <c r="G78" s="10" t="s">
        <v>334</v>
      </c>
      <c r="H78" s="10" t="s">
        <v>5</v>
      </c>
      <c r="I78" s="10"/>
    </row>
    <row r="79" spans="1:9" ht="25.5" x14ac:dyDescent="0.25">
      <c r="A79" s="9" t="s">
        <v>338</v>
      </c>
      <c r="B79" s="10" t="s">
        <v>339</v>
      </c>
      <c r="C79" s="10" t="s">
        <v>340</v>
      </c>
      <c r="D79" s="10" t="s">
        <v>341</v>
      </c>
      <c r="E79" s="10" t="s">
        <v>342</v>
      </c>
      <c r="F79" s="10" t="s">
        <v>327</v>
      </c>
      <c r="G79" s="10" t="s">
        <v>41</v>
      </c>
      <c r="H79" s="10" t="s">
        <v>5</v>
      </c>
      <c r="I79" s="10"/>
    </row>
    <row r="80" spans="1:9" x14ac:dyDescent="0.25">
      <c r="A80" s="9" t="s">
        <v>343</v>
      </c>
      <c r="B80" s="10" t="s">
        <v>344</v>
      </c>
      <c r="C80" s="10" t="s">
        <v>345</v>
      </c>
      <c r="D80" s="10" t="s">
        <v>346</v>
      </c>
      <c r="E80" s="10" t="s">
        <v>347</v>
      </c>
      <c r="F80" s="10" t="s">
        <v>327</v>
      </c>
      <c r="G80" s="10" t="s">
        <v>41</v>
      </c>
      <c r="H80" s="10" t="s">
        <v>5</v>
      </c>
      <c r="I80" s="10"/>
    </row>
  </sheetData>
  <autoFilter ref="A4:I80" xr:uid="{00000000-0009-0000-0000-000001000000}"/>
  <mergeCells count="11">
    <mergeCell ref="A74:I74"/>
    <mergeCell ref="A35:I35"/>
    <mergeCell ref="A26:I26"/>
    <mergeCell ref="A54:I54"/>
    <mergeCell ref="A2:I2"/>
    <mergeCell ref="A5:I5"/>
    <mergeCell ref="A42:I42"/>
    <mergeCell ref="A66:I66"/>
    <mergeCell ref="A1:I1"/>
    <mergeCell ref="A17:I17"/>
    <mergeCell ref="A61:I61"/>
  </mergeCells>
  <conditionalFormatting sqref="H5:H80">
    <cfRule type="cellIs" dxfId="21" priority="1" operator="equal">
      <formula>"Klaar"</formula>
    </cfRule>
    <cfRule type="cellIs" dxfId="20" priority="2" operator="equal">
      <formula>"Bezig"</formula>
    </cfRule>
    <cfRule type="cellIs" dxfId="19" priority="3" operator="equal">
      <formula>"Geblokkeerd"</formula>
    </cfRule>
    <cfRule type="cellIs" dxfId="18" priority="4" operator="equal">
      <formula>"Vervalt"</formula>
    </cfRule>
  </conditionalFormatting>
  <dataValidations count="1">
    <dataValidation type="list" allowBlank="1" errorTitle="Ongeldige status" error="Kies een status uit de lijst." sqref="H5:H80" xr:uid="{00000000-0002-0000-0100-000000000000}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3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6" customWidth="1"/>
    <col min="2" max="2" width="34" customWidth="1"/>
    <col min="3" max="3" width="74" customWidth="1"/>
    <col min="4" max="4" width="26" customWidth="1"/>
    <col min="5" max="5" width="12" customWidth="1"/>
    <col min="6" max="6" width="13" customWidth="1"/>
    <col min="7" max="7" width="26" customWidth="1"/>
  </cols>
  <sheetData>
    <row r="1" spans="1:7" ht="18.75" x14ac:dyDescent="0.3">
      <c r="A1" s="17" t="s">
        <v>12</v>
      </c>
      <c r="B1" s="13"/>
      <c r="C1" s="13"/>
      <c r="D1" s="13"/>
      <c r="E1" s="13"/>
      <c r="F1" s="13"/>
      <c r="G1" s="13"/>
    </row>
    <row r="2" spans="1:7" x14ac:dyDescent="0.25">
      <c r="A2" s="14" t="s">
        <v>348</v>
      </c>
      <c r="B2" s="13"/>
      <c r="C2" s="13"/>
      <c r="D2" s="13"/>
      <c r="E2" s="13"/>
      <c r="F2" s="13"/>
      <c r="G2" s="13"/>
    </row>
    <row r="4" spans="1:7" ht="26.1" customHeight="1" x14ac:dyDescent="0.25">
      <c r="A4" s="8" t="s">
        <v>21</v>
      </c>
      <c r="B4" s="8" t="s">
        <v>349</v>
      </c>
      <c r="C4" s="8" t="s">
        <v>23</v>
      </c>
      <c r="D4" s="8" t="s">
        <v>350</v>
      </c>
      <c r="E4" s="8" t="s">
        <v>351</v>
      </c>
      <c r="F4" s="8" t="s">
        <v>28</v>
      </c>
      <c r="G4" s="8" t="s">
        <v>29</v>
      </c>
    </row>
    <row r="5" spans="1:7" x14ac:dyDescent="0.25">
      <c r="A5" s="15" t="s">
        <v>352</v>
      </c>
      <c r="B5" s="16"/>
      <c r="C5" s="16"/>
      <c r="D5" s="16"/>
      <c r="E5" s="16"/>
      <c r="F5" s="16"/>
      <c r="G5" s="16"/>
    </row>
    <row r="6" spans="1:7" ht="38.25" x14ac:dyDescent="0.25">
      <c r="A6" s="9">
        <v>1</v>
      </c>
      <c r="B6" s="10" t="s">
        <v>353</v>
      </c>
      <c r="C6" s="10" t="s">
        <v>354</v>
      </c>
      <c r="D6" s="10" t="s">
        <v>355</v>
      </c>
      <c r="E6" s="10" t="s">
        <v>356</v>
      </c>
      <c r="F6" s="10" t="s">
        <v>5</v>
      </c>
      <c r="G6" s="10" t="s">
        <v>357</v>
      </c>
    </row>
    <row r="7" spans="1:7" ht="25.5" x14ac:dyDescent="0.25">
      <c r="A7" s="9">
        <v>2</v>
      </c>
      <c r="B7" s="10" t="s">
        <v>358</v>
      </c>
      <c r="C7" s="10" t="s">
        <v>359</v>
      </c>
      <c r="D7" s="10" t="s">
        <v>360</v>
      </c>
      <c r="E7" s="10" t="s">
        <v>356</v>
      </c>
      <c r="F7" s="10" t="s">
        <v>5</v>
      </c>
      <c r="G7" s="10" t="s">
        <v>361</v>
      </c>
    </row>
    <row r="8" spans="1:7" ht="25.5" x14ac:dyDescent="0.25">
      <c r="A8" s="9">
        <v>3</v>
      </c>
      <c r="B8" s="10" t="s">
        <v>362</v>
      </c>
      <c r="C8" s="10" t="s">
        <v>363</v>
      </c>
      <c r="D8" s="10" t="s">
        <v>364</v>
      </c>
      <c r="E8" s="10" t="s">
        <v>356</v>
      </c>
      <c r="F8" s="10" t="s">
        <v>5</v>
      </c>
      <c r="G8" s="10"/>
    </row>
    <row r="9" spans="1:7" x14ac:dyDescent="0.25">
      <c r="A9" s="9">
        <v>4</v>
      </c>
      <c r="B9" s="10" t="s">
        <v>365</v>
      </c>
      <c r="C9" s="10" t="s">
        <v>366</v>
      </c>
      <c r="D9" s="10" t="s">
        <v>367</v>
      </c>
      <c r="E9" s="10" t="s">
        <v>356</v>
      </c>
      <c r="F9" s="10" t="s">
        <v>5</v>
      </c>
      <c r="G9" s="10" t="s">
        <v>368</v>
      </c>
    </row>
    <row r="10" spans="1:7" ht="25.5" x14ac:dyDescent="0.25">
      <c r="A10" s="9">
        <v>5</v>
      </c>
      <c r="B10" s="10" t="s">
        <v>369</v>
      </c>
      <c r="C10" s="10" t="s">
        <v>370</v>
      </c>
      <c r="D10" s="10" t="s">
        <v>371</v>
      </c>
      <c r="E10" s="10" t="s">
        <v>356</v>
      </c>
      <c r="F10" s="10" t="s">
        <v>5</v>
      </c>
      <c r="G10" s="10" t="s">
        <v>372</v>
      </c>
    </row>
    <row r="11" spans="1:7" ht="25.5" x14ac:dyDescent="0.25">
      <c r="A11" s="9">
        <v>6</v>
      </c>
      <c r="B11" s="10" t="s">
        <v>373</v>
      </c>
      <c r="C11" s="10" t="s">
        <v>374</v>
      </c>
      <c r="D11" s="10" t="s">
        <v>375</v>
      </c>
      <c r="E11" s="10" t="s">
        <v>376</v>
      </c>
      <c r="F11" s="10" t="s">
        <v>5</v>
      </c>
      <c r="G11" s="10" t="s">
        <v>377</v>
      </c>
    </row>
    <row r="12" spans="1:7" ht="25.5" x14ac:dyDescent="0.25">
      <c r="A12" s="9">
        <v>7</v>
      </c>
      <c r="B12" s="10" t="s">
        <v>378</v>
      </c>
      <c r="C12" s="10" t="s">
        <v>379</v>
      </c>
      <c r="D12" s="10" t="s">
        <v>375</v>
      </c>
      <c r="E12" s="10" t="s">
        <v>376</v>
      </c>
      <c r="F12" s="10" t="s">
        <v>5</v>
      </c>
      <c r="G12" s="10"/>
    </row>
    <row r="13" spans="1:7" ht="25.5" x14ac:dyDescent="0.25">
      <c r="A13" s="9">
        <v>8</v>
      </c>
      <c r="B13" s="10" t="s">
        <v>380</v>
      </c>
      <c r="C13" s="10" t="s">
        <v>381</v>
      </c>
      <c r="D13" s="10" t="s">
        <v>382</v>
      </c>
      <c r="E13" s="10" t="s">
        <v>376</v>
      </c>
      <c r="F13" s="10" t="s">
        <v>5</v>
      </c>
      <c r="G13" s="10"/>
    </row>
    <row r="14" spans="1:7" ht="25.5" x14ac:dyDescent="0.25">
      <c r="A14" s="9">
        <v>9</v>
      </c>
      <c r="B14" s="10" t="s">
        <v>383</v>
      </c>
      <c r="C14" s="10" t="s">
        <v>384</v>
      </c>
      <c r="D14" s="10" t="s">
        <v>385</v>
      </c>
      <c r="E14" s="10" t="s">
        <v>356</v>
      </c>
      <c r="F14" s="10" t="s">
        <v>5</v>
      </c>
      <c r="G14" s="10" t="s">
        <v>386</v>
      </c>
    </row>
    <row r="15" spans="1:7" x14ac:dyDescent="0.25">
      <c r="A15" s="9">
        <v>10</v>
      </c>
      <c r="B15" s="10" t="s">
        <v>387</v>
      </c>
      <c r="C15" s="10" t="s">
        <v>388</v>
      </c>
      <c r="D15" s="10" t="s">
        <v>389</v>
      </c>
      <c r="E15" s="10" t="s">
        <v>390</v>
      </c>
      <c r="F15" s="10" t="s">
        <v>5</v>
      </c>
      <c r="G15" s="10"/>
    </row>
    <row r="16" spans="1:7" x14ac:dyDescent="0.25">
      <c r="A16" s="15" t="s">
        <v>391</v>
      </c>
      <c r="B16" s="16"/>
      <c r="C16" s="16"/>
      <c r="D16" s="16"/>
      <c r="E16" s="16"/>
      <c r="F16" s="16"/>
      <c r="G16" s="16"/>
    </row>
    <row r="17" spans="1:7" ht="25.5" x14ac:dyDescent="0.25">
      <c r="A17" s="9">
        <v>11</v>
      </c>
      <c r="B17" s="10" t="s">
        <v>392</v>
      </c>
      <c r="C17" s="10" t="s">
        <v>393</v>
      </c>
      <c r="D17" s="10" t="s">
        <v>394</v>
      </c>
      <c r="E17" s="10" t="s">
        <v>376</v>
      </c>
      <c r="F17" s="10" t="s">
        <v>5</v>
      </c>
      <c r="G17" s="10" t="s">
        <v>395</v>
      </c>
    </row>
    <row r="18" spans="1:7" ht="25.5" x14ac:dyDescent="0.25">
      <c r="A18" s="9">
        <v>12</v>
      </c>
      <c r="B18" s="10" t="s">
        <v>396</v>
      </c>
      <c r="C18" s="10" t="s">
        <v>397</v>
      </c>
      <c r="D18" s="10" t="s">
        <v>398</v>
      </c>
      <c r="E18" s="10" t="s">
        <v>376</v>
      </c>
      <c r="F18" s="10" t="s">
        <v>5</v>
      </c>
      <c r="G18" s="10"/>
    </row>
    <row r="19" spans="1:7" x14ac:dyDescent="0.25">
      <c r="A19" s="9">
        <v>13</v>
      </c>
      <c r="B19" s="10" t="s">
        <v>399</v>
      </c>
      <c r="C19" s="10" t="s">
        <v>400</v>
      </c>
      <c r="D19" s="10" t="s">
        <v>401</v>
      </c>
      <c r="E19" s="10" t="s">
        <v>376</v>
      </c>
      <c r="F19" s="10" t="s">
        <v>5</v>
      </c>
      <c r="G19" s="10"/>
    </row>
    <row r="20" spans="1:7" ht="25.5" x14ac:dyDescent="0.25">
      <c r="A20" s="9">
        <v>14</v>
      </c>
      <c r="B20" s="10" t="s">
        <v>402</v>
      </c>
      <c r="C20" s="10" t="s">
        <v>403</v>
      </c>
      <c r="D20" s="10" t="s">
        <v>402</v>
      </c>
      <c r="E20" s="10" t="s">
        <v>356</v>
      </c>
      <c r="F20" s="10" t="s">
        <v>5</v>
      </c>
      <c r="G20" s="10" t="s">
        <v>404</v>
      </c>
    </row>
    <row r="21" spans="1:7" x14ac:dyDescent="0.25">
      <c r="A21" s="9">
        <v>15</v>
      </c>
      <c r="B21" s="10" t="s">
        <v>405</v>
      </c>
      <c r="C21" s="10" t="s">
        <v>406</v>
      </c>
      <c r="D21" s="10" t="s">
        <v>407</v>
      </c>
      <c r="E21" s="10" t="s">
        <v>376</v>
      </c>
      <c r="F21" s="10" t="s">
        <v>5</v>
      </c>
      <c r="G21" s="10"/>
    </row>
    <row r="22" spans="1:7" ht="25.5" x14ac:dyDescent="0.25">
      <c r="A22" s="9">
        <v>16</v>
      </c>
      <c r="B22" s="10" t="s">
        <v>408</v>
      </c>
      <c r="C22" s="10" t="s">
        <v>409</v>
      </c>
      <c r="D22" s="10" t="s">
        <v>407</v>
      </c>
      <c r="E22" s="10" t="s">
        <v>356</v>
      </c>
      <c r="F22" s="10" t="s">
        <v>5</v>
      </c>
      <c r="G22" s="10" t="s">
        <v>410</v>
      </c>
    </row>
    <row r="23" spans="1:7" ht="25.5" x14ac:dyDescent="0.25">
      <c r="A23" s="9">
        <v>17</v>
      </c>
      <c r="B23" s="10" t="s">
        <v>411</v>
      </c>
      <c r="C23" s="10" t="s">
        <v>412</v>
      </c>
      <c r="D23" s="10" t="s">
        <v>407</v>
      </c>
      <c r="E23" s="10" t="s">
        <v>356</v>
      </c>
      <c r="F23" s="10" t="s">
        <v>5</v>
      </c>
      <c r="G23" s="10" t="s">
        <v>413</v>
      </c>
    </row>
    <row r="24" spans="1:7" x14ac:dyDescent="0.25">
      <c r="A24" s="9">
        <v>18</v>
      </c>
      <c r="B24" s="10" t="s">
        <v>99</v>
      </c>
      <c r="C24" s="10" t="s">
        <v>414</v>
      </c>
      <c r="D24" s="10" t="s">
        <v>415</v>
      </c>
      <c r="E24" s="10" t="s">
        <v>390</v>
      </c>
      <c r="F24" s="10" t="s">
        <v>7</v>
      </c>
      <c r="G24" s="10" t="s">
        <v>416</v>
      </c>
    </row>
    <row r="25" spans="1:7" x14ac:dyDescent="0.25">
      <c r="A25" s="9">
        <v>19</v>
      </c>
      <c r="B25" s="10" t="s">
        <v>417</v>
      </c>
      <c r="C25" s="10" t="s">
        <v>418</v>
      </c>
      <c r="D25" s="10" t="s">
        <v>407</v>
      </c>
      <c r="E25" s="10" t="s">
        <v>390</v>
      </c>
      <c r="F25" s="10" t="s">
        <v>9</v>
      </c>
      <c r="G25" s="10" t="s">
        <v>416</v>
      </c>
    </row>
    <row r="26" spans="1:7" x14ac:dyDescent="0.25">
      <c r="A26" s="9">
        <v>20</v>
      </c>
      <c r="B26" s="10" t="s">
        <v>419</v>
      </c>
      <c r="C26" s="10" t="s">
        <v>420</v>
      </c>
      <c r="D26" s="10" t="s">
        <v>421</v>
      </c>
      <c r="E26" s="10" t="s">
        <v>376</v>
      </c>
      <c r="F26" s="10" t="s">
        <v>5</v>
      </c>
      <c r="G26" s="10"/>
    </row>
    <row r="27" spans="1:7" ht="25.5" x14ac:dyDescent="0.25">
      <c r="A27" s="9">
        <v>21</v>
      </c>
      <c r="B27" s="10" t="s">
        <v>422</v>
      </c>
      <c r="C27" s="10" t="s">
        <v>423</v>
      </c>
      <c r="D27" s="10" t="s">
        <v>424</v>
      </c>
      <c r="E27" s="10" t="s">
        <v>356</v>
      </c>
      <c r="F27" s="10" t="s">
        <v>5</v>
      </c>
      <c r="G27" s="10" t="s">
        <v>425</v>
      </c>
    </row>
    <row r="28" spans="1:7" x14ac:dyDescent="0.25">
      <c r="A28" s="15" t="s">
        <v>426</v>
      </c>
      <c r="B28" s="16"/>
      <c r="C28" s="16"/>
      <c r="D28" s="16"/>
      <c r="E28" s="16"/>
      <c r="F28" s="16"/>
      <c r="G28" s="16"/>
    </row>
    <row r="29" spans="1:7" ht="25.5" x14ac:dyDescent="0.25">
      <c r="A29" s="9">
        <v>22</v>
      </c>
      <c r="B29" s="10" t="s">
        <v>427</v>
      </c>
      <c r="C29" s="10" t="s">
        <v>428</v>
      </c>
      <c r="D29" s="10" t="s">
        <v>429</v>
      </c>
      <c r="E29" s="10" t="s">
        <v>376</v>
      </c>
      <c r="F29" s="10" t="s">
        <v>5</v>
      </c>
      <c r="G29" s="10"/>
    </row>
    <row r="30" spans="1:7" x14ac:dyDescent="0.25">
      <c r="A30" s="9">
        <v>23</v>
      </c>
      <c r="B30" s="10" t="s">
        <v>430</v>
      </c>
      <c r="C30" s="10" t="s">
        <v>431</v>
      </c>
      <c r="D30" s="10" t="s">
        <v>432</v>
      </c>
      <c r="E30" s="10" t="s">
        <v>390</v>
      </c>
      <c r="F30" s="10" t="s">
        <v>5</v>
      </c>
      <c r="G30" s="10" t="s">
        <v>433</v>
      </c>
    </row>
    <row r="31" spans="1:7" x14ac:dyDescent="0.25">
      <c r="A31" s="9">
        <v>24</v>
      </c>
      <c r="B31" s="10" t="s">
        <v>434</v>
      </c>
      <c r="C31" s="10" t="s">
        <v>435</v>
      </c>
      <c r="D31" s="10" t="s">
        <v>436</v>
      </c>
      <c r="E31" s="10" t="s">
        <v>376</v>
      </c>
      <c r="F31" s="10" t="s">
        <v>5</v>
      </c>
      <c r="G31" s="10"/>
    </row>
    <row r="32" spans="1:7" ht="25.5" x14ac:dyDescent="0.25">
      <c r="A32" s="9">
        <v>25</v>
      </c>
      <c r="B32" s="10" t="s">
        <v>437</v>
      </c>
      <c r="C32" s="10" t="s">
        <v>438</v>
      </c>
      <c r="D32" s="10" t="s">
        <v>439</v>
      </c>
      <c r="E32" s="10" t="s">
        <v>356</v>
      </c>
      <c r="F32" s="10" t="s">
        <v>5</v>
      </c>
      <c r="G32" s="10" t="s">
        <v>440</v>
      </c>
    </row>
  </sheetData>
  <autoFilter ref="A4:G32" xr:uid="{00000000-0009-0000-0000-000002000000}"/>
  <mergeCells count="5">
    <mergeCell ref="A1:G1"/>
    <mergeCell ref="A16:G16"/>
    <mergeCell ref="A2:G2"/>
    <mergeCell ref="A28:G28"/>
    <mergeCell ref="A5:G5"/>
  </mergeCells>
  <conditionalFormatting sqref="F5:F32">
    <cfRule type="cellIs" dxfId="17" priority="1" operator="equal">
      <formula>"Klaar"</formula>
    </cfRule>
    <cfRule type="cellIs" dxfId="16" priority="2" operator="equal">
      <formula>"Bezig"</formula>
    </cfRule>
    <cfRule type="cellIs" dxfId="15" priority="3" operator="equal">
      <formula>"Geblokkeerd"</formula>
    </cfRule>
    <cfRule type="cellIs" dxfId="14" priority="4" operator="equal">
      <formula>"Vervalt"</formula>
    </cfRule>
  </conditionalFormatting>
  <dataValidations count="1">
    <dataValidation type="list" allowBlank="1" errorTitle="Ongeldige status" error="Kies een status uit de lijst." sqref="F5:F32" xr:uid="{00000000-0002-0000-0200-000000000000}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6" customWidth="1"/>
    <col min="2" max="2" width="52" customWidth="1"/>
    <col min="3" max="3" width="46" customWidth="1"/>
    <col min="4" max="4" width="34" customWidth="1"/>
    <col min="5" max="5" width="13" customWidth="1"/>
    <col min="6" max="6" width="30" customWidth="1"/>
    <col min="7" max="10" width="13" customWidth="1"/>
    <col min="11" max="11" width="24" customWidth="1"/>
  </cols>
  <sheetData>
    <row r="1" spans="1:11" ht="18.75" x14ac:dyDescent="0.3">
      <c r="A1" s="17" t="s">
        <v>441</v>
      </c>
      <c r="B1" s="13"/>
      <c r="C1" s="13"/>
      <c r="D1" s="13"/>
      <c r="E1" s="13"/>
      <c r="F1" s="13"/>
    </row>
    <row r="2" spans="1:11" x14ac:dyDescent="0.25">
      <c r="A2" s="14" t="s">
        <v>442</v>
      </c>
      <c r="B2" s="13"/>
      <c r="C2" s="13"/>
      <c r="D2" s="13"/>
      <c r="E2" s="13"/>
      <c r="F2" s="13"/>
    </row>
    <row r="4" spans="1:11" ht="26.1" customHeight="1" x14ac:dyDescent="0.25">
      <c r="A4" s="8" t="s">
        <v>21</v>
      </c>
      <c r="B4" s="8" t="s">
        <v>443</v>
      </c>
      <c r="C4" s="8" t="s">
        <v>444</v>
      </c>
      <c r="D4" s="8" t="s">
        <v>445</v>
      </c>
      <c r="E4" s="8" t="s">
        <v>28</v>
      </c>
      <c r="F4" s="8" t="s">
        <v>29</v>
      </c>
    </row>
    <row r="5" spans="1:11" x14ac:dyDescent="0.25">
      <c r="A5" s="15" t="s">
        <v>446</v>
      </c>
      <c r="B5" s="16"/>
      <c r="C5" s="16"/>
      <c r="D5" s="16"/>
      <c r="E5" s="16"/>
      <c r="F5" s="16"/>
    </row>
    <row r="6" spans="1:11" ht="25.5" x14ac:dyDescent="0.25">
      <c r="A6" s="9">
        <v>1</v>
      </c>
      <c r="B6" s="10" t="s">
        <v>447</v>
      </c>
      <c r="C6" s="10" t="s">
        <v>448</v>
      </c>
      <c r="D6" s="10" t="s">
        <v>449</v>
      </c>
      <c r="E6" s="10" t="s">
        <v>5</v>
      </c>
      <c r="F6" s="10"/>
    </row>
    <row r="7" spans="1:11" x14ac:dyDescent="0.25">
      <c r="A7" s="9">
        <v>2</v>
      </c>
      <c r="B7" s="10" t="s">
        <v>450</v>
      </c>
      <c r="C7" s="10" t="s">
        <v>451</v>
      </c>
      <c r="D7" s="10" t="s">
        <v>452</v>
      </c>
      <c r="E7" s="10" t="s">
        <v>5</v>
      </c>
      <c r="F7" s="10" t="s">
        <v>453</v>
      </c>
    </row>
    <row r="8" spans="1:11" x14ac:dyDescent="0.25">
      <c r="A8" s="9">
        <v>3</v>
      </c>
      <c r="B8" s="10" t="s">
        <v>454</v>
      </c>
      <c r="C8" s="10" t="s">
        <v>455</v>
      </c>
      <c r="D8" s="10" t="s">
        <v>456</v>
      </c>
      <c r="E8" s="10" t="s">
        <v>5</v>
      </c>
      <c r="F8" s="10"/>
    </row>
    <row r="9" spans="1:11" ht="25.5" x14ac:dyDescent="0.25">
      <c r="A9" s="9">
        <v>4</v>
      </c>
      <c r="B9" s="10" t="s">
        <v>457</v>
      </c>
      <c r="C9" s="10" t="s">
        <v>458</v>
      </c>
      <c r="D9" s="10" t="s">
        <v>459</v>
      </c>
      <c r="E9" s="10" t="s">
        <v>5</v>
      </c>
      <c r="F9" s="10"/>
    </row>
    <row r="10" spans="1:11" x14ac:dyDescent="0.25">
      <c r="A10" s="9">
        <v>5</v>
      </c>
      <c r="B10" s="10" t="s">
        <v>460</v>
      </c>
      <c r="C10" s="10" t="s">
        <v>461</v>
      </c>
      <c r="D10" s="10" t="s">
        <v>462</v>
      </c>
      <c r="E10" s="10" t="s">
        <v>5</v>
      </c>
      <c r="F10" s="10"/>
    </row>
    <row r="11" spans="1:11" x14ac:dyDescent="0.25">
      <c r="A11" s="9">
        <v>6</v>
      </c>
      <c r="B11" s="10" t="s">
        <v>463</v>
      </c>
      <c r="C11" s="10" t="s">
        <v>464</v>
      </c>
      <c r="D11" s="10" t="s">
        <v>465</v>
      </c>
      <c r="E11" s="10" t="s">
        <v>5</v>
      </c>
      <c r="F11" s="10" t="s">
        <v>200</v>
      </c>
    </row>
    <row r="12" spans="1:11" ht="25.5" x14ac:dyDescent="0.25">
      <c r="A12" s="9">
        <v>7</v>
      </c>
      <c r="B12" s="10" t="s">
        <v>466</v>
      </c>
      <c r="C12" s="10" t="s">
        <v>467</v>
      </c>
      <c r="D12" s="10" t="s">
        <v>468</v>
      </c>
      <c r="E12" s="10" t="s">
        <v>5</v>
      </c>
      <c r="F12" s="10" t="s">
        <v>469</v>
      </c>
    </row>
    <row r="14" spans="1:11" x14ac:dyDescent="0.25">
      <c r="A14" s="11" t="s">
        <v>470</v>
      </c>
    </row>
    <row r="15" spans="1:11" ht="30" customHeight="1" x14ac:dyDescent="0.25">
      <c r="A15" s="8" t="s">
        <v>21</v>
      </c>
      <c r="B15" s="8" t="s">
        <v>471</v>
      </c>
      <c r="C15" s="8" t="s">
        <v>472</v>
      </c>
      <c r="D15" s="8" t="s">
        <v>473</v>
      </c>
      <c r="E15" s="8" t="s">
        <v>474</v>
      </c>
      <c r="F15" s="8" t="s">
        <v>475</v>
      </c>
      <c r="G15" s="8" t="s">
        <v>476</v>
      </c>
      <c r="H15" s="8" t="s">
        <v>477</v>
      </c>
      <c r="I15" s="8" t="s">
        <v>478</v>
      </c>
      <c r="J15" s="8" t="s">
        <v>28</v>
      </c>
      <c r="K15" s="8" t="s">
        <v>29</v>
      </c>
    </row>
    <row r="16" spans="1:11" x14ac:dyDescent="0.25">
      <c r="A16" s="9">
        <v>1</v>
      </c>
      <c r="B16" s="10" t="s">
        <v>479</v>
      </c>
      <c r="C16" s="9" t="s">
        <v>480</v>
      </c>
      <c r="D16" s="9"/>
      <c r="E16" s="9"/>
      <c r="F16" s="9"/>
      <c r="G16" s="9"/>
      <c r="H16" s="9"/>
      <c r="I16" s="9"/>
      <c r="J16" s="9" t="s">
        <v>5</v>
      </c>
      <c r="K16" s="9"/>
    </row>
    <row r="17" spans="1:11" x14ac:dyDescent="0.25">
      <c r="A17" s="9">
        <v>2</v>
      </c>
      <c r="B17" s="10" t="s">
        <v>481</v>
      </c>
      <c r="C17" s="9" t="s">
        <v>482</v>
      </c>
      <c r="D17" s="9"/>
      <c r="E17" s="9"/>
      <c r="F17" s="9"/>
      <c r="G17" s="9"/>
      <c r="H17" s="9"/>
      <c r="I17" s="9"/>
      <c r="J17" s="9" t="s">
        <v>5</v>
      </c>
      <c r="K17" s="9"/>
    </row>
    <row r="18" spans="1:11" x14ac:dyDescent="0.25">
      <c r="A18" s="9">
        <v>3</v>
      </c>
      <c r="B18" s="10" t="s">
        <v>483</v>
      </c>
      <c r="C18" s="9" t="s">
        <v>484</v>
      </c>
      <c r="D18" s="9"/>
      <c r="E18" s="9"/>
      <c r="F18" s="9"/>
      <c r="G18" s="9"/>
      <c r="H18" s="9"/>
      <c r="I18" s="9"/>
      <c r="J18" s="9" t="s">
        <v>5</v>
      </c>
      <c r="K18" s="9"/>
    </row>
    <row r="19" spans="1:11" x14ac:dyDescent="0.25">
      <c r="A19" s="9">
        <v>4</v>
      </c>
      <c r="B19" s="10" t="s">
        <v>485</v>
      </c>
      <c r="C19" s="9" t="s">
        <v>486</v>
      </c>
      <c r="D19" s="9"/>
      <c r="E19" s="9"/>
      <c r="F19" s="9"/>
      <c r="G19" s="9"/>
      <c r="H19" s="9"/>
      <c r="I19" s="9"/>
      <c r="J19" s="9" t="s">
        <v>5</v>
      </c>
      <c r="K19" s="9"/>
    </row>
    <row r="20" spans="1:11" x14ac:dyDescent="0.25">
      <c r="A20" s="9">
        <v>5</v>
      </c>
      <c r="B20" s="10" t="s">
        <v>487</v>
      </c>
      <c r="C20" s="9" t="s">
        <v>480</v>
      </c>
      <c r="D20" s="9"/>
      <c r="E20" s="9"/>
      <c r="F20" s="9"/>
      <c r="G20" s="9"/>
      <c r="H20" s="9"/>
      <c r="I20" s="9"/>
      <c r="J20" s="9" t="s">
        <v>5</v>
      </c>
      <c r="K20" s="9"/>
    </row>
    <row r="21" spans="1:11" x14ac:dyDescent="0.25">
      <c r="A21" s="9">
        <v>6</v>
      </c>
      <c r="B21" s="10" t="s">
        <v>488</v>
      </c>
      <c r="C21" s="9" t="s">
        <v>480</v>
      </c>
      <c r="D21" s="9"/>
      <c r="E21" s="9"/>
      <c r="F21" s="9"/>
      <c r="G21" s="9"/>
      <c r="H21" s="9"/>
      <c r="I21" s="9"/>
      <c r="J21" s="9" t="s">
        <v>5</v>
      </c>
      <c r="K21" s="9"/>
    </row>
    <row r="22" spans="1:11" x14ac:dyDescent="0.25">
      <c r="A22" s="9">
        <v>7</v>
      </c>
      <c r="B22" s="10" t="s">
        <v>489</v>
      </c>
      <c r="C22" s="9" t="s">
        <v>490</v>
      </c>
      <c r="D22" s="9"/>
      <c r="E22" s="9"/>
      <c r="F22" s="9"/>
      <c r="G22" s="9"/>
      <c r="H22" s="9"/>
      <c r="I22" s="9"/>
      <c r="J22" s="9" t="s">
        <v>5</v>
      </c>
      <c r="K22" s="9"/>
    </row>
    <row r="23" spans="1:11" x14ac:dyDescent="0.25">
      <c r="A23" s="9">
        <v>8</v>
      </c>
      <c r="B23" s="10" t="s">
        <v>491</v>
      </c>
      <c r="C23" s="9" t="s">
        <v>492</v>
      </c>
      <c r="D23" s="9"/>
      <c r="E23" s="9"/>
      <c r="F23" s="9"/>
      <c r="G23" s="9"/>
      <c r="H23" s="9"/>
      <c r="I23" s="9"/>
      <c r="J23" s="9" t="s">
        <v>5</v>
      </c>
      <c r="K23" s="9"/>
    </row>
    <row r="24" spans="1:11" x14ac:dyDescent="0.25">
      <c r="A24" s="9">
        <v>9</v>
      </c>
      <c r="B24" s="10" t="s">
        <v>493</v>
      </c>
      <c r="C24" s="9" t="s">
        <v>494</v>
      </c>
      <c r="D24" s="9"/>
      <c r="E24" s="9"/>
      <c r="F24" s="9"/>
      <c r="G24" s="9"/>
      <c r="H24" s="9"/>
      <c r="I24" s="9"/>
      <c r="J24" s="9" t="s">
        <v>5</v>
      </c>
      <c r="K24" s="9"/>
    </row>
  </sheetData>
  <autoFilter ref="A4:F12" xr:uid="{00000000-0009-0000-0000-000003000000}"/>
  <mergeCells count="3">
    <mergeCell ref="A2:F2"/>
    <mergeCell ref="A1:F1"/>
    <mergeCell ref="A5:F5"/>
  </mergeCells>
  <conditionalFormatting sqref="D16:I24">
    <cfRule type="cellIs" dxfId="13" priority="5" operator="equal">
      <formula>"ja"</formula>
    </cfRule>
    <cfRule type="cellIs" dxfId="12" priority="6" operator="equal">
      <formula>"nee"</formula>
    </cfRule>
  </conditionalFormatting>
  <conditionalFormatting sqref="E5:E12">
    <cfRule type="cellIs" dxfId="11" priority="1" operator="equal">
      <formula>"Klaar"</formula>
    </cfRule>
    <cfRule type="cellIs" dxfId="10" priority="2" operator="equal">
      <formula>"Bezig"</formula>
    </cfRule>
    <cfRule type="cellIs" dxfId="9" priority="3" operator="equal">
      <formula>"Geblokkeerd"</formula>
    </cfRule>
    <cfRule type="cellIs" dxfId="8" priority="4" operator="equal">
      <formula>"Vervalt"</formula>
    </cfRule>
  </conditionalFormatting>
  <dataValidations count="3">
    <dataValidation type="list" allowBlank="1" errorTitle="Ongeldige status" error="Kies een status uit de lijst." sqref="E5:E12" xr:uid="{00000000-0002-0000-0300-000000000000}">
      <formula1>"Te doen,Bezig,Klaar,Geblokkeerd,Vervalt"</formula1>
    </dataValidation>
    <dataValidation type="list" allowBlank="1" sqref="D16:I24" xr:uid="{00000000-0002-0000-0300-000001000000}">
      <formula1>"ja,nee,n.v.t."</formula1>
    </dataValidation>
    <dataValidation type="list" allowBlank="1" sqref="J16:J24" xr:uid="{00000000-0002-0000-0300-000002000000}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3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6" customWidth="1"/>
    <col min="2" max="2" width="34" customWidth="1"/>
    <col min="3" max="3" width="62" customWidth="1"/>
    <col min="4" max="4" width="40" customWidth="1"/>
    <col min="5" max="5" width="13" customWidth="1"/>
    <col min="6" max="6" width="30" customWidth="1"/>
  </cols>
  <sheetData>
    <row r="1" spans="1:6" ht="18.75" x14ac:dyDescent="0.3">
      <c r="A1" s="17" t="s">
        <v>495</v>
      </c>
      <c r="B1" s="13"/>
      <c r="C1" s="13"/>
      <c r="D1" s="13"/>
      <c r="E1" s="13"/>
      <c r="F1" s="13"/>
    </row>
    <row r="2" spans="1:6" x14ac:dyDescent="0.25">
      <c r="A2" s="14" t="s">
        <v>496</v>
      </c>
      <c r="B2" s="13"/>
      <c r="C2" s="13"/>
      <c r="D2" s="13"/>
      <c r="E2" s="13"/>
      <c r="F2" s="13"/>
    </row>
    <row r="4" spans="1:6" ht="26.1" customHeight="1" x14ac:dyDescent="0.25">
      <c r="A4" s="8" t="s">
        <v>21</v>
      </c>
      <c r="B4" s="8" t="s">
        <v>497</v>
      </c>
      <c r="C4" s="8" t="s">
        <v>23</v>
      </c>
      <c r="D4" s="8" t="s">
        <v>498</v>
      </c>
      <c r="E4" s="8" t="s">
        <v>28</v>
      </c>
      <c r="F4" s="8" t="s">
        <v>29</v>
      </c>
    </row>
    <row r="5" spans="1:6" x14ac:dyDescent="0.25">
      <c r="A5" s="15" t="s">
        <v>499</v>
      </c>
      <c r="B5" s="16"/>
      <c r="C5" s="16"/>
      <c r="D5" s="16"/>
      <c r="E5" s="16"/>
      <c r="F5" s="16"/>
    </row>
    <row r="6" spans="1:6" ht="25.5" x14ac:dyDescent="0.25">
      <c r="A6" s="9" t="s">
        <v>500</v>
      </c>
      <c r="B6" s="10" t="s">
        <v>501</v>
      </c>
      <c r="C6" s="10" t="s">
        <v>502</v>
      </c>
      <c r="D6" s="10" t="s">
        <v>503</v>
      </c>
      <c r="E6" s="10" t="s">
        <v>5</v>
      </c>
      <c r="F6" s="10" t="s">
        <v>504</v>
      </c>
    </row>
    <row r="7" spans="1:6" x14ac:dyDescent="0.25">
      <c r="A7" s="9" t="s">
        <v>505</v>
      </c>
      <c r="B7" s="10" t="s">
        <v>506</v>
      </c>
      <c r="C7" s="10" t="s">
        <v>507</v>
      </c>
      <c r="D7" s="10" t="s">
        <v>508</v>
      </c>
      <c r="E7" s="10" t="s">
        <v>7</v>
      </c>
      <c r="F7" s="10"/>
    </row>
    <row r="8" spans="1:6" x14ac:dyDescent="0.25">
      <c r="A8" s="9" t="s">
        <v>509</v>
      </c>
      <c r="B8" s="10" t="s">
        <v>510</v>
      </c>
      <c r="C8" s="10" t="s">
        <v>511</v>
      </c>
      <c r="D8" s="10" t="s">
        <v>512</v>
      </c>
      <c r="E8" s="10" t="s">
        <v>5</v>
      </c>
      <c r="F8" s="10" t="s">
        <v>513</v>
      </c>
    </row>
    <row r="9" spans="1:6" x14ac:dyDescent="0.25">
      <c r="A9" s="9" t="s">
        <v>514</v>
      </c>
      <c r="B9" s="10" t="s">
        <v>515</v>
      </c>
      <c r="C9" s="10" t="s">
        <v>516</v>
      </c>
      <c r="D9" s="10" t="s">
        <v>517</v>
      </c>
      <c r="E9" s="10" t="s">
        <v>5</v>
      </c>
      <c r="F9" s="10" t="s">
        <v>504</v>
      </c>
    </row>
    <row r="10" spans="1:6" x14ac:dyDescent="0.25">
      <c r="A10" s="9" t="s">
        <v>518</v>
      </c>
      <c r="B10" s="10" t="s">
        <v>519</v>
      </c>
      <c r="C10" s="10" t="s">
        <v>520</v>
      </c>
      <c r="D10" s="10" t="s">
        <v>521</v>
      </c>
      <c r="E10" s="10" t="s">
        <v>5</v>
      </c>
      <c r="F10" s="10" t="s">
        <v>522</v>
      </c>
    </row>
    <row r="11" spans="1:6" x14ac:dyDescent="0.25">
      <c r="A11" s="9" t="s">
        <v>523</v>
      </c>
      <c r="B11" s="10" t="s">
        <v>524</v>
      </c>
      <c r="C11" s="10" t="s">
        <v>525</v>
      </c>
      <c r="D11" s="10" t="s">
        <v>526</v>
      </c>
      <c r="E11" s="10" t="s">
        <v>5</v>
      </c>
      <c r="F11" s="10" t="s">
        <v>527</v>
      </c>
    </row>
    <row r="12" spans="1:6" x14ac:dyDescent="0.25">
      <c r="A12" s="15" t="s">
        <v>528</v>
      </c>
      <c r="B12" s="16"/>
      <c r="C12" s="16"/>
      <c r="D12" s="16"/>
      <c r="E12" s="16"/>
      <c r="F12" s="16"/>
    </row>
    <row r="13" spans="1:6" x14ac:dyDescent="0.25">
      <c r="A13" s="9" t="s">
        <v>529</v>
      </c>
      <c r="B13" s="10" t="s">
        <v>530</v>
      </c>
      <c r="C13" s="10" t="s">
        <v>531</v>
      </c>
      <c r="D13" s="10" t="s">
        <v>532</v>
      </c>
      <c r="E13" s="10" t="s">
        <v>5</v>
      </c>
      <c r="F13" s="10" t="s">
        <v>533</v>
      </c>
    </row>
    <row r="14" spans="1:6" x14ac:dyDescent="0.25">
      <c r="A14" s="9" t="s">
        <v>534</v>
      </c>
      <c r="B14" s="10" t="s">
        <v>535</v>
      </c>
      <c r="C14" s="10" t="s">
        <v>507</v>
      </c>
      <c r="D14" s="10" t="s">
        <v>536</v>
      </c>
      <c r="E14" s="10" t="s">
        <v>7</v>
      </c>
      <c r="F14" s="10" t="s">
        <v>537</v>
      </c>
    </row>
    <row r="15" spans="1:6" ht="25.5" x14ac:dyDescent="0.25">
      <c r="A15" s="9" t="s">
        <v>538</v>
      </c>
      <c r="B15" s="10" t="s">
        <v>539</v>
      </c>
      <c r="C15" s="10" t="s">
        <v>507</v>
      </c>
      <c r="D15" s="10" t="s">
        <v>540</v>
      </c>
      <c r="E15" s="10" t="s">
        <v>7</v>
      </c>
      <c r="F15" s="10" t="s">
        <v>541</v>
      </c>
    </row>
    <row r="16" spans="1:6" x14ac:dyDescent="0.25">
      <c r="A16" s="9" t="s">
        <v>542</v>
      </c>
      <c r="B16" s="10" t="s">
        <v>543</v>
      </c>
      <c r="C16" s="10" t="s">
        <v>544</v>
      </c>
      <c r="D16" s="10" t="s">
        <v>545</v>
      </c>
      <c r="E16" s="10" t="s">
        <v>5</v>
      </c>
      <c r="F16" s="10" t="s">
        <v>546</v>
      </c>
    </row>
    <row r="17" spans="1:6" x14ac:dyDescent="0.25">
      <c r="A17" s="9" t="s">
        <v>547</v>
      </c>
      <c r="B17" s="10" t="s">
        <v>548</v>
      </c>
      <c r="C17" s="10" t="s">
        <v>549</v>
      </c>
      <c r="D17" s="10" t="s">
        <v>550</v>
      </c>
      <c r="E17" s="10" t="s">
        <v>8</v>
      </c>
      <c r="F17" s="10" t="s">
        <v>551</v>
      </c>
    </row>
    <row r="18" spans="1:6" x14ac:dyDescent="0.25">
      <c r="A18" s="9" t="s">
        <v>552</v>
      </c>
      <c r="B18" s="10" t="s">
        <v>553</v>
      </c>
      <c r="C18" s="10" t="s">
        <v>554</v>
      </c>
      <c r="D18" s="10" t="s">
        <v>555</v>
      </c>
      <c r="E18" s="10" t="s">
        <v>6</v>
      </c>
      <c r="F18" s="10" t="s">
        <v>556</v>
      </c>
    </row>
    <row r="19" spans="1:6" x14ac:dyDescent="0.25">
      <c r="A19" s="9" t="s">
        <v>557</v>
      </c>
      <c r="B19" s="10" t="s">
        <v>558</v>
      </c>
      <c r="C19" s="10" t="s">
        <v>507</v>
      </c>
      <c r="D19" s="10" t="s">
        <v>559</v>
      </c>
      <c r="E19" s="10" t="s">
        <v>7</v>
      </c>
      <c r="F19" s="10"/>
    </row>
    <row r="20" spans="1:6" x14ac:dyDescent="0.25">
      <c r="A20" s="15" t="s">
        <v>560</v>
      </c>
      <c r="B20" s="16"/>
      <c r="C20" s="16"/>
      <c r="D20" s="16"/>
      <c r="E20" s="16"/>
      <c r="F20" s="16"/>
    </row>
    <row r="21" spans="1:6" x14ac:dyDescent="0.25">
      <c r="A21" s="9" t="s">
        <v>561</v>
      </c>
      <c r="B21" s="10" t="s">
        <v>562</v>
      </c>
      <c r="C21" s="10" t="s">
        <v>563</v>
      </c>
      <c r="D21" s="10" t="s">
        <v>564</v>
      </c>
      <c r="E21" s="10" t="s">
        <v>5</v>
      </c>
      <c r="F21" s="10" t="s">
        <v>565</v>
      </c>
    </row>
    <row r="22" spans="1:6" x14ac:dyDescent="0.25">
      <c r="A22" s="9" t="s">
        <v>566</v>
      </c>
      <c r="B22" s="10" t="s">
        <v>567</v>
      </c>
      <c r="C22" s="10" t="s">
        <v>568</v>
      </c>
      <c r="D22" s="10" t="s">
        <v>569</v>
      </c>
      <c r="E22" s="10" t="s">
        <v>5</v>
      </c>
      <c r="F22" s="10"/>
    </row>
    <row r="23" spans="1:6" x14ac:dyDescent="0.25">
      <c r="A23" s="9" t="s">
        <v>570</v>
      </c>
      <c r="B23" s="10" t="s">
        <v>571</v>
      </c>
      <c r="C23" s="10" t="s">
        <v>572</v>
      </c>
      <c r="D23" s="10" t="s">
        <v>573</v>
      </c>
      <c r="E23" s="10" t="s">
        <v>5</v>
      </c>
      <c r="F23" s="10" t="s">
        <v>574</v>
      </c>
    </row>
    <row r="24" spans="1:6" x14ac:dyDescent="0.25">
      <c r="A24" s="9" t="s">
        <v>575</v>
      </c>
      <c r="B24" s="10" t="s">
        <v>576</v>
      </c>
      <c r="C24" s="10" t="s">
        <v>577</v>
      </c>
      <c r="D24" s="10" t="s">
        <v>573</v>
      </c>
      <c r="E24" s="10" t="s">
        <v>5</v>
      </c>
      <c r="F24" s="10" t="s">
        <v>578</v>
      </c>
    </row>
    <row r="25" spans="1:6" x14ac:dyDescent="0.25">
      <c r="A25" s="9" t="s">
        <v>579</v>
      </c>
      <c r="B25" s="10" t="s">
        <v>580</v>
      </c>
      <c r="C25" s="10" t="s">
        <v>581</v>
      </c>
      <c r="D25" s="10" t="s">
        <v>573</v>
      </c>
      <c r="E25" s="10" t="s">
        <v>5</v>
      </c>
      <c r="F25" s="10"/>
    </row>
    <row r="26" spans="1:6" x14ac:dyDescent="0.25">
      <c r="A26" s="9" t="s">
        <v>582</v>
      </c>
      <c r="B26" s="10" t="s">
        <v>583</v>
      </c>
      <c r="C26" s="10" t="s">
        <v>584</v>
      </c>
      <c r="D26" s="10" t="s">
        <v>585</v>
      </c>
      <c r="E26" s="10" t="s">
        <v>5</v>
      </c>
      <c r="F26" s="10" t="s">
        <v>586</v>
      </c>
    </row>
    <row r="27" spans="1:6" x14ac:dyDescent="0.25">
      <c r="A27" s="9" t="s">
        <v>587</v>
      </c>
      <c r="B27" s="10" t="s">
        <v>588</v>
      </c>
      <c r="C27" s="10" t="s">
        <v>589</v>
      </c>
      <c r="D27" s="10" t="s">
        <v>573</v>
      </c>
      <c r="E27" s="10" t="s">
        <v>5</v>
      </c>
      <c r="F27" s="10"/>
    </row>
    <row r="28" spans="1:6" x14ac:dyDescent="0.25">
      <c r="A28" s="15" t="s">
        <v>590</v>
      </c>
      <c r="B28" s="16"/>
      <c r="C28" s="16"/>
      <c r="D28" s="16"/>
      <c r="E28" s="16"/>
      <c r="F28" s="16"/>
    </row>
    <row r="29" spans="1:6" x14ac:dyDescent="0.25">
      <c r="A29" s="9" t="s">
        <v>591</v>
      </c>
      <c r="B29" s="10" t="s">
        <v>592</v>
      </c>
      <c r="C29" s="10" t="s">
        <v>593</v>
      </c>
      <c r="D29" s="10" t="s">
        <v>594</v>
      </c>
      <c r="E29" s="10" t="s">
        <v>5</v>
      </c>
      <c r="F29" s="10" t="s">
        <v>595</v>
      </c>
    </row>
    <row r="30" spans="1:6" x14ac:dyDescent="0.25">
      <c r="A30" s="9" t="s">
        <v>596</v>
      </c>
      <c r="B30" s="10" t="s">
        <v>597</v>
      </c>
      <c r="C30" s="10" t="s">
        <v>598</v>
      </c>
      <c r="D30" s="10" t="s">
        <v>599</v>
      </c>
      <c r="E30" s="10" t="s">
        <v>5</v>
      </c>
      <c r="F30" s="10" t="s">
        <v>600</v>
      </c>
    </row>
    <row r="31" spans="1:6" x14ac:dyDescent="0.25">
      <c r="A31" s="9" t="s">
        <v>601</v>
      </c>
      <c r="B31" s="10" t="s">
        <v>602</v>
      </c>
      <c r="C31" s="10" t="s">
        <v>603</v>
      </c>
      <c r="D31" s="10" t="s">
        <v>604</v>
      </c>
      <c r="E31" s="10" t="s">
        <v>5</v>
      </c>
      <c r="F31" s="10" t="s">
        <v>605</v>
      </c>
    </row>
    <row r="32" spans="1:6" x14ac:dyDescent="0.25">
      <c r="A32" s="9" t="s">
        <v>606</v>
      </c>
      <c r="B32" s="10" t="s">
        <v>607</v>
      </c>
      <c r="C32" s="10" t="s">
        <v>608</v>
      </c>
      <c r="D32" s="10" t="s">
        <v>609</v>
      </c>
      <c r="E32" s="10" t="s">
        <v>5</v>
      </c>
      <c r="F32" s="10" t="s">
        <v>610</v>
      </c>
    </row>
  </sheetData>
  <autoFilter ref="A4:F32" xr:uid="{00000000-0009-0000-0000-000004000000}"/>
  <mergeCells count="6">
    <mergeCell ref="A2:F2"/>
    <mergeCell ref="A28:F28"/>
    <mergeCell ref="A1:F1"/>
    <mergeCell ref="A5:F5"/>
    <mergeCell ref="A12:F12"/>
    <mergeCell ref="A20:F20"/>
  </mergeCells>
  <conditionalFormatting sqref="E5:E32">
    <cfRule type="cellIs" dxfId="7" priority="1" operator="equal">
      <formula>"Klaar"</formula>
    </cfRule>
    <cfRule type="cellIs" dxfId="6" priority="2" operator="equal">
      <formula>"Bezig"</formula>
    </cfRule>
    <cfRule type="cellIs" dxfId="5" priority="3" operator="equal">
      <formula>"Geblokkeerd"</formula>
    </cfRule>
    <cfRule type="cellIs" dxfId="4" priority="4" operator="equal">
      <formula>"Vervalt"</formula>
    </cfRule>
  </conditionalFormatting>
  <dataValidations count="1">
    <dataValidation type="list" allowBlank="1" errorTitle="Ongeldige status" error="Kies een status uit de lijst." sqref="E5:E32" xr:uid="{00000000-0002-0000-0400-000000000000}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1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46" customWidth="1"/>
    <col min="3" max="3" width="12" customWidth="1"/>
    <col min="4" max="5" width="20" customWidth="1"/>
    <col min="6" max="6" width="13" customWidth="1"/>
    <col min="7" max="7" width="30" customWidth="1"/>
  </cols>
  <sheetData>
    <row r="1" spans="1:7" ht="18.75" x14ac:dyDescent="0.3">
      <c r="A1" s="17" t="s">
        <v>15</v>
      </c>
      <c r="B1" s="13"/>
      <c r="C1" s="13"/>
      <c r="D1" s="13"/>
      <c r="E1" s="13"/>
      <c r="F1" s="13"/>
      <c r="G1" s="13"/>
    </row>
    <row r="2" spans="1:7" x14ac:dyDescent="0.25">
      <c r="A2" s="14" t="s">
        <v>611</v>
      </c>
      <c r="B2" s="13"/>
      <c r="C2" s="13"/>
      <c r="D2" s="13"/>
      <c r="E2" s="13"/>
      <c r="F2" s="13"/>
      <c r="G2" s="13"/>
    </row>
    <row r="4" spans="1:7" ht="26.1" customHeight="1" x14ac:dyDescent="0.25">
      <c r="A4" s="8" t="s">
        <v>612</v>
      </c>
      <c r="B4" s="8" t="s">
        <v>613</v>
      </c>
      <c r="C4" s="8" t="s">
        <v>614</v>
      </c>
      <c r="D4" s="8" t="s">
        <v>432</v>
      </c>
      <c r="E4" s="8" t="s">
        <v>615</v>
      </c>
      <c r="F4" s="8" t="s">
        <v>28</v>
      </c>
      <c r="G4" s="8" t="s">
        <v>29</v>
      </c>
    </row>
    <row r="5" spans="1:7" x14ac:dyDescent="0.25">
      <c r="A5" s="9" t="s">
        <v>616</v>
      </c>
      <c r="B5" s="10" t="s">
        <v>617</v>
      </c>
      <c r="C5" s="10" t="s">
        <v>618</v>
      </c>
      <c r="D5" s="10" t="s">
        <v>619</v>
      </c>
      <c r="E5" s="10" t="s">
        <v>620</v>
      </c>
      <c r="F5" s="10" t="s">
        <v>5</v>
      </c>
      <c r="G5" s="10"/>
    </row>
    <row r="6" spans="1:7" x14ac:dyDescent="0.25">
      <c r="A6" s="9" t="s">
        <v>621</v>
      </c>
      <c r="B6" s="10" t="s">
        <v>622</v>
      </c>
      <c r="C6" s="10" t="s">
        <v>623</v>
      </c>
      <c r="D6" s="10" t="s">
        <v>619</v>
      </c>
      <c r="E6" s="10" t="s">
        <v>620</v>
      </c>
      <c r="F6" s="10" t="s">
        <v>5</v>
      </c>
      <c r="G6" s="10"/>
    </row>
    <row r="7" spans="1:7" x14ac:dyDescent="0.25">
      <c r="A7" s="9" t="s">
        <v>624</v>
      </c>
      <c r="B7" s="10" t="s">
        <v>625</v>
      </c>
      <c r="C7" s="10" t="s">
        <v>626</v>
      </c>
      <c r="D7" s="10" t="s">
        <v>619</v>
      </c>
      <c r="E7" s="10" t="s">
        <v>620</v>
      </c>
      <c r="F7" s="10" t="s">
        <v>5</v>
      </c>
      <c r="G7" s="10"/>
    </row>
    <row r="8" spans="1:7" x14ac:dyDescent="0.25">
      <c r="A8" s="9" t="s">
        <v>627</v>
      </c>
      <c r="B8" s="10" t="s">
        <v>628</v>
      </c>
      <c r="C8" s="10" t="s">
        <v>629</v>
      </c>
      <c r="D8" s="10" t="s">
        <v>630</v>
      </c>
      <c r="E8" s="10" t="s">
        <v>631</v>
      </c>
      <c r="F8" s="10" t="s">
        <v>5</v>
      </c>
      <c r="G8" s="10" t="s">
        <v>632</v>
      </c>
    </row>
    <row r="9" spans="1:7" x14ac:dyDescent="0.25">
      <c r="A9" s="9" t="s">
        <v>633</v>
      </c>
      <c r="B9" s="10" t="s">
        <v>634</v>
      </c>
      <c r="C9" s="10" t="s">
        <v>635</v>
      </c>
      <c r="D9" s="10" t="s">
        <v>636</v>
      </c>
      <c r="E9" s="10" t="s">
        <v>637</v>
      </c>
      <c r="F9" s="10" t="s">
        <v>5</v>
      </c>
      <c r="G9" s="10" t="s">
        <v>632</v>
      </c>
    </row>
    <row r="10" spans="1:7" x14ac:dyDescent="0.25">
      <c r="A10" s="9" t="s">
        <v>638</v>
      </c>
      <c r="B10" s="10" t="s">
        <v>639</v>
      </c>
      <c r="C10" s="10" t="s">
        <v>635</v>
      </c>
      <c r="D10" s="10" t="s">
        <v>636</v>
      </c>
      <c r="E10" s="10" t="s">
        <v>637</v>
      </c>
      <c r="F10" s="10" t="s">
        <v>5</v>
      </c>
      <c r="G10" s="10" t="s">
        <v>632</v>
      </c>
    </row>
    <row r="11" spans="1:7" x14ac:dyDescent="0.25">
      <c r="A11" s="9" t="s">
        <v>640</v>
      </c>
      <c r="B11" s="10" t="s">
        <v>641</v>
      </c>
      <c r="C11" s="10" t="s">
        <v>642</v>
      </c>
      <c r="D11" s="10" t="s">
        <v>643</v>
      </c>
      <c r="E11" s="10" t="s">
        <v>620</v>
      </c>
      <c r="F11" s="10" t="s">
        <v>5</v>
      </c>
      <c r="G11" s="10"/>
    </row>
  </sheetData>
  <autoFilter ref="A4:G11" xr:uid="{00000000-0009-0000-0000-000005000000}"/>
  <mergeCells count="2">
    <mergeCell ref="A2:G2"/>
    <mergeCell ref="A1:G1"/>
  </mergeCells>
  <conditionalFormatting sqref="F5:F11">
    <cfRule type="cellIs" dxfId="3" priority="1" operator="equal">
      <formula>"Klaar"</formula>
    </cfRule>
    <cfRule type="cellIs" dxfId="2" priority="2" operator="equal">
      <formula>"Bezig"</formula>
    </cfRule>
    <cfRule type="cellIs" dxfId="1" priority="3" operator="equal">
      <formula>"Geblokkeerd"</formula>
    </cfRule>
    <cfRule type="cellIs" dxfId="0" priority="4" operator="equal">
      <formula>"Vervalt"</formula>
    </cfRule>
  </conditionalFormatting>
  <dataValidations count="1">
    <dataValidation type="list" allowBlank="1" errorTitle="Ongeldige status" error="Kies een status uit de lijst." sqref="F5:F11" xr:uid="{00000000-0002-0000-0500-000000000000}">
      <formula1>"Te doen,Bezig,Klaar,Geblokkeerd,Vervalt"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6</vt:i4>
      </vt:variant>
      <vt:variant>
        <vt:lpstr>Benoemde bereiken</vt:lpstr>
      </vt:variant>
      <vt:variant>
        <vt:i4>5</vt:i4>
      </vt:variant>
    </vt:vector>
  </HeadingPairs>
  <TitlesOfParts>
    <vt:vector size="11" baseType="lpstr">
      <vt:lpstr>Overzicht</vt:lpstr>
      <vt:lpstr>Taken</vt:lpstr>
      <vt:lpstr>Openstaande punten</vt:lpstr>
      <vt:lpstr>Go-NoGo</vt:lpstr>
      <vt:lpstr>Manuscriptpakket</vt:lpstr>
      <vt:lpstr>Mijlpalen</vt:lpstr>
      <vt:lpstr>'Go-NoGo'!Afdruktitels</vt:lpstr>
      <vt:lpstr>Manuscriptpakket!Afdruktitels</vt:lpstr>
      <vt:lpstr>Mijlpalen!Afdruktitels</vt:lpstr>
      <vt:lpstr>'Openstaande punten'!Afdruktitels</vt:lpstr>
      <vt:lpstr>Taken!Afdruktitels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Janou De Buyser</cp:lastModifiedBy>
  <dcterms:created xsi:type="dcterms:W3CDTF">2026-09-10T09:34:37Z</dcterms:created>
  <dcterms:modified xsi:type="dcterms:W3CDTF">2026-09-10T09:35:37Z</dcterms:modified>
</cp:coreProperties>
</file>
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75" windowWidth="29040" windowHeight="15720" tabRatio="600" firstSheet="0" activeTab="4" autoFilterDateGrouping="1"/>
  </bookViews>
  <sheets>
    <sheet xmlns:r="http://schemas.openxmlformats.org/officeDocument/2006/relationships" name="Overzicht" sheetId="1" state="visible" r:id="rId1"/>
    <sheet xmlns:r="http://schemas.openxmlformats.org/officeDocument/2006/relationships" name="Taken" sheetId="2" state="visible" r:id="rId2"/>
    <sheet xmlns:r="http://schemas.openxmlformats.org/officeDocument/2006/relationships" name="Openstaande punten" sheetId="3" state="visible" r:id="rId3"/>
    <sheet xmlns:r="http://schemas.openxmlformats.org/officeDocument/2006/relationships" name="Go-NoGo" sheetId="4" state="visible" r:id="rId4"/>
    <sheet xmlns:r="http://schemas.openxmlformats.org/officeDocument/2006/relationships" name="Mijlpalen" sheetId="5" state="visible" r:id="rId5"/>
  </sheets>
  <definedNames>
    <definedName name="_xlnm._FilterDatabase" localSheetId="1" hidden="1">'Taken'!$A$4:$I$79</definedName>
    <definedName name="_xlnm.Print_Titles" localSheetId="1">'Taken'!$4:$4</definedName>
    <definedName name="_xlnm._FilterDatabase" localSheetId="2" hidden="1">'Openstaande punten'!$A$4:$G$29</definedName>
    <definedName name="_xlnm.Print_Titles" localSheetId="2">'Openstaande punten'!$4:$4</definedName>
    <definedName name="_xlnm._FilterDatabase" localSheetId="3" hidden="1">'Go-NoGo'!$A$4:$F$12</definedName>
    <definedName name="_xlnm.Print_Titles" localSheetId="3">'Go-NoGo'!$4:$4</definedName>
    <definedName name="_xlnm._FilterDatabase" localSheetId="4" hidden="1">'Mijlpalen'!$A$4:$G$11</definedName>
    <definedName name="_xlnm.Print_Titles" localSheetId="4">'Mijlpalen'!$4:$4</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00407A"/>
      <sz val="14"/>
    </font>
    <font>
      <name val="Calibri"/>
      <i val="1"/>
      <color rgb="FF4A6880"/>
      <sz val="9"/>
    </font>
    <font>
      <name val="Calibri"/>
      <b val="1"/>
      <color rgb="FFFFFFFF"/>
      <sz val="10"/>
    </font>
    <font>
      <name val="Calibri"/>
      <b val="1"/>
      <color rgb="FF00407A"/>
      <sz val="10"/>
    </font>
    <font>
      <name val="Calibri"/>
      <sz val="10"/>
    </font>
    <font>
      <name val="Calibri"/>
      <b val="1"/>
      <color rgb="FF00407A"/>
      <sz val="18"/>
    </font>
    <font>
      <name val="Calibri"/>
      <color rgb="FF4A6880"/>
      <sz val="10"/>
    </font>
    <font>
      <name val="Calibri"/>
      <b val="1"/>
      <sz val="10"/>
    </font>
    <font>
      <name val="Calibri"/>
      <family val="2"/>
      <color theme="10"/>
      <sz val="11"/>
      <u val="single"/>
      <scheme val="minor"/>
    </font>
    <font>
      <name val="Calibri"/>
      <b val="1"/>
      <color rgb="0000407A"/>
      <sz val="10"/>
    </font>
  </fonts>
  <fills count="4">
    <fill>
      <patternFill/>
    </fill>
    <fill>
      <patternFill patternType="gray125"/>
    </fill>
    <fill>
      <patternFill patternType="solid">
        <fgColor rgb="FF1D8DB0"/>
      </patternFill>
    </fill>
    <fill>
      <patternFill patternType="solid">
        <fgColor rgb="FFEBF4FB"/>
      </patternFill>
    </fill>
  </fills>
  <borders count="8">
    <border>
      <left/>
      <right/>
      <top/>
      <bottom/>
      <diagonal/>
    </border>
    <border>
      <left style="thin">
        <color rgb="FFC8DFF0"/>
      </left>
      <right style="thin">
        <color rgb="FFC8DFF0"/>
      </right>
      <top style="thin">
        <color rgb="FFC8DFF0"/>
      </top>
      <bottom style="thin">
        <color rgb="FFC8DFF0"/>
      </bottom>
      <diagonal/>
    </border>
    <border>
      <left style="thin">
        <color rgb="FFC8DFF0"/>
      </left>
      <right style="thin">
        <color rgb="FFC8DFF0"/>
      </right>
      <top/>
      <bottom/>
      <diagonal/>
    </border>
    <border>
      <left/>
      <right/>
      <top style="thin">
        <color rgb="FFC8DFF0"/>
      </top>
      <bottom/>
      <diagonal/>
    </border>
    <border>
      <left/>
      <right style="thin">
        <color rgb="FFC8DFF0"/>
      </right>
      <top style="thin">
        <color rgb="FFC8DFF0"/>
      </top>
      <bottom/>
      <diagonal/>
    </border>
    <border>
      <left/>
      <right/>
      <top style="thin">
        <color rgb="FFC8DFF0"/>
      </top>
      <bottom style="thin">
        <color rgb="FFC8DFF0"/>
      </bottom>
      <diagonal/>
    </border>
    <border>
      <left/>
      <right style="thin">
        <color rgb="FFC8DFF0"/>
      </right>
      <top style="thin">
        <color rgb="FFC8DFF0"/>
      </top>
      <bottom style="thin">
        <color rgb="FFC8DFF0"/>
      </bottom>
      <diagonal/>
    </border>
    <border>
      <left style="thin">
        <color rgb="00C8DFF0"/>
      </left>
      <right style="thin">
        <color rgb="00C8DFF0"/>
      </right>
      <top style="thin">
        <color rgb="00C8DFF0"/>
      </top>
      <bottom style="thin">
        <color rgb="00C8DFF0"/>
      </bottom>
    </border>
  </borders>
  <cellStyleXfs count="2">
    <xf numFmtId="0" fontId="0" fillId="0" borderId="0"/>
    <xf numFmtId="0" fontId="9" fillId="0" borderId="0"/>
  </cellStyleXfs>
  <cellXfs count="27">
    <xf numFmtId="0" fontId="0" fillId="0" borderId="0" pivotButton="0" quotePrefix="0" xfId="0"/>
    <xf numFmtId="0" fontId="6" fillId="0" borderId="0" pivotButton="0" quotePrefix="0" xfId="0"/>
    <xf numFmtId="0" fontId="2" fillId="0" borderId="0" pivotButton="0" quotePrefix="0" xfId="0"/>
    <xf numFmtId="0" fontId="3" fillId="2" borderId="1" applyAlignment="1" pivotButton="0" quotePrefix="0" xfId="0">
      <alignment horizontal="center" vertical="center"/>
    </xf>
    <xf numFmtId="0" fontId="8" fillId="0" borderId="1" pivotButton="0" quotePrefix="0" xfId="0"/>
    <xf numFmtId="0" fontId="0" fillId="0" borderId="1" applyAlignment="1" pivotButton="0" quotePrefix="0" xfId="0">
      <alignment horizontal="center"/>
    </xf>
    <xf numFmtId="0" fontId="8" fillId="3" borderId="1" pivotButton="0" quotePrefix="0" xfId="0"/>
    <xf numFmtId="0" fontId="8" fillId="3" borderId="1" applyAlignment="1" pivotButton="0" quotePrefix="0" xfId="0">
      <alignment horizontal="center"/>
    </xf>
    <xf numFmtId="0" fontId="3" fillId="2" borderId="1" applyAlignment="1" pivotButton="0" quotePrefix="0" xfId="0">
      <alignment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4" fillId="0" borderId="0" pivotButton="0" quotePrefix="0" xfId="0"/>
    <xf numFmtId="0" fontId="5" fillId="0" borderId="2" applyAlignment="1" pivotButton="0" quotePrefix="0" xfId="0">
      <alignment vertical="top"/>
    </xf>
    <xf numFmtId="0" fontId="7" fillId="0" borderId="0" pivotButton="0" quotePrefix="0" xfId="0"/>
    <xf numFmtId="0" fontId="0" fillId="0" borderId="0" pivotButton="0" quotePrefix="0" xfId="0"/>
    <xf numFmtId="0" fontId="1" fillId="0" borderId="0" pivotButton="0" quotePrefix="0" xfId="0"/>
    <xf numFmtId="0" fontId="4" fillId="3" borderId="1" pivotButton="0" quotePrefix="0" xfId="0"/>
    <xf numFmtId="0" fontId="0" fillId="3" borderId="1" pivotButton="0" quotePrefix="0" xfId="0"/>
    <xf numFmtId="0" fontId="2" fillId="0" borderId="0" pivotButton="0" quotePrefix="0" xfId="0"/>
    <xf numFmtId="0" fontId="9" fillId="0" borderId="0" applyAlignment="1" pivotButton="0" quotePrefix="0" xfId="1">
      <alignment wrapText="1"/>
    </xf>
    <xf numFmtId="0" fontId="0" fillId="0" borderId="5" pivotButton="0" quotePrefix="0" xfId="0"/>
    <xf numFmtId="0" fontId="0" fillId="0" borderId="6" pivotButton="0" quotePrefix="0" xfId="0"/>
    <xf numFmtId="0" fontId="5" fillId="0" borderId="7" applyAlignment="1" pivotButton="0" quotePrefix="0" xfId="0">
      <alignment vertical="top"/>
    </xf>
    <xf numFmtId="0" fontId="5" fillId="0" borderId="7" applyAlignment="1" pivotButton="0" quotePrefix="0" xfId="0">
      <alignment vertical="top" wrapText="1"/>
    </xf>
    <xf numFmtId="0" fontId="5" fillId="0" borderId="7" applyAlignment="1" pivotButton="0" quotePrefix="0" xfId="0">
      <alignment vertical="top"/>
    </xf>
    <xf numFmtId="0" fontId="10" fillId="0" borderId="0" pivotButton="0" quotePrefix="0" xfId="0"/>
    <xf numFmtId="0" fontId="5" fillId="0" borderId="7" applyAlignment="1" pivotButton="0" quotePrefix="0" xfId="0">
      <alignment vertical="top"/>
    </xf>
  </cellXfs>
  <cellStyles count="2">
    <cellStyle name="Standaard" xfId="0" builtinId="0"/>
    <cellStyle name="Hyperlink" xfId="1" builtinId="8"/>
  </cellStyles>
  <dxfs count="22">
    <dxf>
      <font>
        <i val="1"/>
        <color rgb="FF7A8A99"/>
      </font>
      <fill>
        <patternFill patternType="solid">
          <fgColor rgb="FFEDEFF1"/>
        </patternFill>
      </fill>
    </dxf>
    <dxf>
      <font>
        <b val="1"/>
        <color rgb="FFA02A1A"/>
      </font>
      <fill>
        <patternFill patternType="solid">
          <fgColor rgb="FFFBDDD8"/>
        </patternFill>
      </fill>
    </dxf>
    <dxf>
      <font>
        <color rgb="FF8A5000"/>
      </font>
      <fill>
        <patternFill patternType="solid">
          <fgColor rgb="FFFFF0D6"/>
        </patternFill>
      </fill>
    </dxf>
    <dxf>
      <font>
        <b val="1"/>
        <color rgb="FF1E6B32"/>
      </font>
      <fill>
        <patternFill patternType="solid">
          <fgColor rgb="FFD6EEDB"/>
        </patternFill>
      </fill>
    </dxf>
    <dxf>
      <font>
        <i val="1"/>
        <color rgb="FF7A8A99"/>
      </font>
      <fill>
        <patternFill patternType="solid">
          <fgColor rgb="FFEDEFF1"/>
        </patternFill>
      </fill>
    </dxf>
    <dxf>
      <font>
        <b val="1"/>
        <color rgb="FFA02A1A"/>
      </font>
      <fill>
        <patternFill patternType="solid">
          <fgColor rgb="FFFBDDD8"/>
        </patternFill>
      </fill>
    </dxf>
    <dxf>
      <font>
        <color rgb="FF8A5000"/>
      </font>
      <fill>
        <patternFill patternType="solid">
          <fgColor rgb="FFFFF0D6"/>
        </patternFill>
      </fill>
    </dxf>
    <dxf>
      <font>
        <b val="1"/>
        <color rgb="FF1E6B32"/>
      </font>
      <fill>
        <patternFill patternType="solid">
          <fgColor rgb="FFD6EEDB"/>
        </patternFill>
      </fill>
    </dxf>
    <dxf>
      <font>
        <color rgb="FFA02A1A"/>
      </font>
      <fill>
        <patternFill patternType="solid">
          <fgColor rgb="FFFBDDD8"/>
        </patternFill>
      </fill>
    </dxf>
    <dxf>
      <font>
        <b val="1"/>
        <color rgb="FF1E6B32"/>
      </font>
      <fill>
        <patternFill patternType="solid">
          <fgColor rgb="FFD6EEDB"/>
        </patternFill>
      </fill>
    </dxf>
    <dxf>
      <font>
        <i val="1"/>
        <color rgb="FF7A8A99"/>
      </font>
      <fill>
        <patternFill patternType="solid">
          <fgColor rgb="FFEDEFF1"/>
        </patternFill>
      </fill>
    </dxf>
    <dxf>
      <font>
        <b val="1"/>
        <color rgb="FFA02A1A"/>
      </font>
      <fill>
        <patternFill patternType="solid">
          <fgColor rgb="FFFBDDD8"/>
        </patternFill>
      </fill>
    </dxf>
    <dxf>
      <font>
        <color rgb="FF8A5000"/>
      </font>
      <fill>
        <patternFill patternType="solid">
          <fgColor rgb="FFFFF0D6"/>
        </patternFill>
      </fill>
    </dxf>
    <dxf>
      <font>
        <b val="1"/>
        <color rgb="FF1E6B32"/>
      </font>
      <fill>
        <patternFill patternType="solid">
          <fgColor rgb="FFD6EEDB"/>
        </patternFill>
      </fill>
    </dxf>
    <dxf>
      <font>
        <i val="1"/>
        <color rgb="FF7A8A99"/>
      </font>
      <fill>
        <patternFill patternType="solid">
          <fgColor rgb="FFEDEFF1"/>
        </patternFill>
      </fill>
    </dxf>
    <dxf>
      <font>
        <b val="1"/>
        <color rgb="FFA02A1A"/>
      </font>
      <fill>
        <patternFill patternType="solid">
          <fgColor rgb="FFFBDDD8"/>
        </patternFill>
      </fill>
    </dxf>
    <dxf>
      <font>
        <color rgb="FF8A5000"/>
      </font>
      <fill>
        <patternFill patternType="solid">
          <fgColor rgb="FFFFF0D6"/>
        </patternFill>
      </fill>
    </dxf>
    <dxf>
      <font>
        <b val="1"/>
        <color rgb="FF1E6B32"/>
      </font>
      <fill>
        <patternFill patternType="solid">
          <fgColor rgb="FFD6EEDB"/>
        </patternFill>
      </fill>
    </dxf>
    <dxf>
      <font>
        <b val="1"/>
        <color rgb="001E6B32"/>
      </font>
      <fill>
        <patternFill patternType="solid">
          <fgColor rgb="00D6EEDB"/>
        </patternFill>
      </fill>
    </dxf>
    <dxf>
      <font>
        <color rgb="008A5000"/>
      </font>
      <fill>
        <patternFill patternType="solid">
          <fgColor rgb="00FFF0D6"/>
        </patternFill>
      </fill>
    </dxf>
    <dxf>
      <font>
        <b val="1"/>
        <color rgb="00A02A1A"/>
      </font>
      <fill>
        <patternFill patternType="solid">
          <fgColor rgb="00FBDDD8"/>
        </patternFill>
      </fill>
    </dxf>
    <dxf>
      <font>
        <i val="1"/>
        <color rgb="007A8A99"/>
      </font>
      <fill>
        <patternFill patternType="solid">
          <fgColor rgb="00EDEF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oqol.org/register/?utm_source=chatgpt.com" TargetMode="External" Id="rId1"/></Relationships>
</file>

<file path=xl/worksheets/sheet1.xml><?xml version="1.0" encoding="utf-8"?>
<worksheet xmlns="http://schemas.openxmlformats.org/spreadsheetml/2006/main">
  <sheetPr>
    <outlinePr summaryBelow="1" summaryRight="1"/>
    <pageSetUpPr/>
  </sheetPr>
  <dimension ref="A1:H15"/>
  <sheetViews>
    <sheetView workbookViewId="0">
      <selection activeCell="G26" sqref="G26"/>
    </sheetView>
  </sheetViews>
  <sheetFormatPr baseColWidth="8" defaultRowHeight="15"/>
  <cols>
    <col width="26" customWidth="1" style="14" min="1" max="1"/>
    <col width="10" customWidth="1" style="14" min="2" max="5"/>
    <col width="13" customWidth="1" style="14" min="6" max="6"/>
    <col width="10" customWidth="1" style="14" min="7" max="7"/>
    <col width="11" customWidth="1" style="14" min="8" max="8"/>
  </cols>
  <sheetData>
    <row r="1" ht="23.25" customHeight="1" s="14">
      <c r="A1" s="1" t="inlineStr">
        <is>
          <t>PARADISE — werkpakket 1</t>
        </is>
      </c>
    </row>
    <row r="2">
      <c r="A2" s="18" t="n"/>
    </row>
    <row r="4">
      <c r="A4" s="13" t="n"/>
    </row>
    <row r="6">
      <c r="A6" s="3" t="inlineStr">
        <is>
          <t>Blad</t>
        </is>
      </c>
      <c r="B6" s="3" t="inlineStr">
        <is>
          <t>Totaal</t>
        </is>
      </c>
      <c r="C6" s="3" t="inlineStr">
        <is>
          <t>Te doen</t>
        </is>
      </c>
      <c r="D6" s="3" t="inlineStr">
        <is>
          <t>Bezig</t>
        </is>
      </c>
      <c r="E6" s="3" t="inlineStr">
        <is>
          <t>Klaar</t>
        </is>
      </c>
      <c r="F6" s="3" t="inlineStr">
        <is>
          <t>Geblokkeerd</t>
        </is>
      </c>
      <c r="G6" s="3" t="inlineStr">
        <is>
          <t>Vervalt</t>
        </is>
      </c>
      <c r="H6" s="3" t="inlineStr">
        <is>
          <t>Klaar (%)</t>
        </is>
      </c>
    </row>
    <row r="7">
      <c r="A7" s="4" t="inlineStr">
        <is>
          <t>Taken</t>
        </is>
      </c>
      <c r="B7" s="5">
        <f>COUNTA(Taken!$H$5:$H$79)</f>
        <v/>
      </c>
      <c r="C7" s="5">
        <f>COUNTIF(Taken!$H$5:$H$79,"Te doen")</f>
        <v/>
      </c>
      <c r="D7" s="5">
        <f>COUNTIF(Taken!$H$5:$H$79,"Bezig")</f>
        <v/>
      </c>
      <c r="E7" s="5">
        <f>COUNTIF(Taken!$H$5:$H$79,"Klaar")</f>
        <v/>
      </c>
      <c r="F7" s="5">
        <f>COUNTIF(Taken!$H$5:$H$79,"Geblokkeerd")</f>
        <v/>
      </c>
      <c r="G7" s="5">
        <f>COUNTIF(Taken!$H$5:$H$79,"Vervalt")</f>
        <v/>
      </c>
      <c r="H7" s="5">
        <f>IF(B7=0,"",ROUND(E7/B7*100,0))</f>
        <v/>
      </c>
    </row>
    <row r="8">
      <c r="A8" s="4" t="inlineStr">
        <is>
          <t>Openstaande punten</t>
        </is>
      </c>
      <c r="B8" s="5">
        <f>COUNTA('Openstaande punten'!$F$5:$F$37)</f>
        <v/>
      </c>
      <c r="C8" s="5">
        <f>COUNTIF('Openstaande punten'!$F$5:$F$37,"Te doen")</f>
        <v/>
      </c>
      <c r="D8" s="5">
        <f>COUNTIF('Openstaande punten'!$F$5:$F$37,"Bezig")</f>
        <v/>
      </c>
      <c r="E8" s="5">
        <f>COUNTIF('Openstaande punten'!$F$5:$F$37,"Klaar")</f>
        <v/>
      </c>
      <c r="F8" s="5">
        <f>COUNTIF('Openstaande punten'!$F$5:$F$37,"Geblokkeerd")</f>
        <v/>
      </c>
      <c r="G8" s="5">
        <f>COUNTIF('Openstaande punten'!$F$5:$F$37,"Vervalt")</f>
        <v/>
      </c>
      <c r="H8" s="5">
        <f>IF(B8=0,"",ROUND(E8/B8*100,0))</f>
        <v/>
      </c>
    </row>
    <row r="9">
      <c r="A9" s="4" t="inlineStr">
        <is>
          <t>Go-NoGo</t>
        </is>
      </c>
      <c r="B9" s="5">
        <f>COUNTA('Go-NoGo'!$E$5:$E$12)</f>
        <v/>
      </c>
      <c r="C9" s="5">
        <f>COUNTIF('Go-NoGo'!$E$5:$E$12,"Te doen")</f>
        <v/>
      </c>
      <c r="D9" s="5">
        <f>COUNTIF('Go-NoGo'!$E$5:$E$12,"Bezig")</f>
        <v/>
      </c>
      <c r="E9" s="5">
        <f>COUNTIF('Go-NoGo'!$E$5:$E$12,"Klaar")</f>
        <v/>
      </c>
      <c r="F9" s="5">
        <f>COUNTIF('Go-NoGo'!$E$5:$E$12,"Geblokkeerd")</f>
        <v/>
      </c>
      <c r="G9" s="5">
        <f>COUNTIF('Go-NoGo'!$E$5:$E$12,"Vervalt")</f>
        <v/>
      </c>
      <c r="H9" s="5">
        <f>IF(B9=0,"",ROUND(E9/B9*100,0))</f>
        <v/>
      </c>
    </row>
    <row r="10">
      <c r="A10" s="4" t="inlineStr">
        <is>
          <t>Mijlpalen</t>
        </is>
      </c>
      <c r="B10" s="5">
        <f>COUNTA(Mijlpalen!$F$5:$F$11)</f>
        <v/>
      </c>
      <c r="C10" s="5">
        <f>COUNTIF(Mijlpalen!$F$5:$F$11,"Te doen")</f>
        <v/>
      </c>
      <c r="D10" s="5">
        <f>COUNTIF(Mijlpalen!$F$5:$F$11,"Bezig")</f>
        <v/>
      </c>
      <c r="E10" s="5">
        <f>COUNTIF(Mijlpalen!$F$5:$F$11,"Klaar")</f>
        <v/>
      </c>
      <c r="F10" s="5">
        <f>COUNTIF(Mijlpalen!$F$5:$F$11,"Geblokkeerd")</f>
        <v/>
      </c>
      <c r="G10" s="5">
        <f>COUNTIF(Mijlpalen!$F$5:$F$11,"Vervalt")</f>
        <v/>
      </c>
      <c r="H10" s="5">
        <f>IF(B10=0,"",ROUND(E10/B10*100,0))</f>
        <v/>
      </c>
    </row>
    <row r="11">
      <c r="A11" s="6" t="inlineStr">
        <is>
          <t>Alles samen</t>
        </is>
      </c>
      <c r="B11" s="7">
        <f>SUM(B7:B10)</f>
        <v/>
      </c>
      <c r="C11" s="7">
        <f>SUM(C7:C10)</f>
        <v/>
      </c>
      <c r="D11" s="7">
        <f>SUM(D7:D10)</f>
        <v/>
      </c>
      <c r="E11" s="7">
        <f>SUM(E7:E10)</f>
        <v/>
      </c>
      <c r="F11" s="7">
        <f>SUM(F7:F10)</f>
        <v/>
      </c>
      <c r="G11" s="7">
        <f>SUM(G7:G10)</f>
        <v/>
      </c>
      <c r="H11" s="7">
        <f>IF(B11=0,"",ROUND(E11/B11*100,0))</f>
        <v/>
      </c>
    </row>
    <row r="12">
      <c r="A12" s="18" t="inlineStr">
        <is>
          <t>Statuswaarden: Te doen · Bezig · Klaar · Geblokkeerd · Vervalt</t>
        </is>
      </c>
    </row>
    <row r="15">
      <c r="A15" s="18" t="n"/>
    </row>
  </sheetData>
  <mergeCells count="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79"/>
  <sheetViews>
    <sheetView workbookViewId="0">
      <pane ySplit="4" topLeftCell="A71" activePane="bottomLeft" state="frozen"/>
      <selection pane="bottomLeft" activeCell="C30" sqref="C30"/>
    </sheetView>
  </sheetViews>
  <sheetFormatPr baseColWidth="8" defaultRowHeight="15"/>
  <cols>
    <col width="7" customWidth="1" style="14" min="1" max="1"/>
    <col width="26" customWidth="1" style="14" min="2" max="2"/>
    <col width="62" customWidth="1" style="14" min="3" max="3"/>
    <col width="10" customWidth="1" style="14" min="4" max="4"/>
    <col width="16" customWidth="1" style="14" min="5" max="5"/>
    <col width="11" customWidth="1" style="14" min="6" max="6"/>
    <col width="20" customWidth="1" style="14" min="7" max="7"/>
    <col width="13" customWidth="1" style="14" min="8" max="8"/>
    <col width="26" customWidth="1" style="14" min="9" max="9"/>
  </cols>
  <sheetData>
    <row r="1" ht="18.75" customHeight="1" s="14">
      <c r="A1" s="15" t="inlineStr">
        <is>
          <t>Werkpakket 1 — taken en deelactiviteiten</t>
        </is>
      </c>
    </row>
    <row r="2">
      <c r="A2" s="18" t="inlineStr">
        <is>
          <t>De acht taken uit de FWO-aanvraag, met de deelactiviteiten uit het operationele draaiboek. Maanden geteld vanaf september 2026.</t>
        </is>
      </c>
    </row>
    <row r="4" ht="26.1" customHeight="1" s="14">
      <c r="A4" s="8" t="inlineStr">
        <is>
          <t>Nr</t>
        </is>
      </c>
      <c r="B4" s="8" t="inlineStr">
        <is>
          <t>Taak</t>
        </is>
      </c>
      <c r="C4" s="8" t="inlineStr">
        <is>
          <t>Wat er moet gebeuren</t>
        </is>
      </c>
      <c r="D4" s="8" t="inlineStr">
        <is>
          <t>Maanden</t>
        </is>
      </c>
      <c r="E4" s="8" t="inlineStr">
        <is>
          <t>Kalender</t>
        </is>
      </c>
      <c r="F4" s="8" t="inlineStr">
        <is>
          <t>Deliverable</t>
        </is>
      </c>
      <c r="G4" s="8" t="inlineStr">
        <is>
          <t>Wie</t>
        </is>
      </c>
      <c r="H4" s="8" t="inlineStr">
        <is>
          <t>Status</t>
        </is>
      </c>
      <c r="I4" s="8" t="inlineStr">
        <is>
          <t>Opmerking</t>
        </is>
      </c>
    </row>
    <row r="5">
      <c r="A5" s="16" t="inlineStr">
        <is>
          <t>Taak 1.1 — Ethische indiening en registratie · M1–5 · D1.1 · kritisch pad</t>
        </is>
      </c>
      <c r="B5" s="20" t="n"/>
      <c r="C5" s="20" t="n"/>
      <c r="D5" s="20" t="n"/>
      <c r="E5" s="20" t="n"/>
      <c r="F5" s="20" t="n"/>
      <c r="G5" s="20" t="n"/>
      <c r="H5" s="20" t="n"/>
      <c r="I5" s="21" t="n"/>
    </row>
    <row r="6" ht="38.25" customHeight="1" s="14">
      <c r="A6" s="9" t="inlineStr">
        <is>
          <t>1.1a</t>
        </is>
      </c>
      <c r="B6" s="10" t="inlineStr">
        <is>
          <t>Centrale indiening</t>
        </is>
      </c>
      <c r="C6" s="10" t="inlineStr">
        <is>
          <t>Clinical investigation plan, toestemmingsformulieren, patiëntmateriaal en investigator's brochure indienen bij EC UZ Leuven, het FAGG en de zes lokale commissies</t>
        </is>
      </c>
      <c r="D6" s="10" t="inlineStr">
        <is>
          <t>1–2</t>
        </is>
      </c>
      <c r="E6" s="10" t="inlineStr">
        <is>
          <t>sep – okt 26</t>
        </is>
      </c>
      <c r="F6" s="10" t="inlineStr">
        <is>
          <t>D1.1</t>
        </is>
      </c>
      <c r="G6" s="10" t="inlineStr">
        <is>
          <t>PhD-A + Deschamps</t>
        </is>
      </c>
      <c r="H6" s="10" t="inlineStr">
        <is>
          <t>Bezig</t>
        </is>
      </c>
      <c r="I6" s="10" t="inlineStr">
        <is>
          <t xml:space="preserve">CTC en FAGG nog te doen </t>
        </is>
      </c>
    </row>
    <row r="7" ht="25.5" customHeight="1" s="14">
      <c r="A7" s="9" t="inlineStr">
        <is>
          <t>1.1b</t>
        </is>
      </c>
      <c r="B7" s="10" t="inlineStr">
        <is>
          <t>Toestemmingsformulieren</t>
        </is>
      </c>
      <c r="C7" s="10" t="inlineStr">
        <is>
          <t>Nederlands op maximaal B1-niveau, met GDPR-clausules; ook de deelnemende therapeuten tekenen</t>
        </is>
      </c>
      <c r="D7" s="10" t="inlineStr">
        <is>
          <t>1–2</t>
        </is>
      </c>
      <c r="E7" s="10" t="inlineStr">
        <is>
          <t>sep – okt 26</t>
        </is>
      </c>
      <c r="F7" s="10" t="inlineStr">
        <is>
          <t>D1.1</t>
        </is>
      </c>
      <c r="G7" s="10" t="inlineStr">
        <is>
          <t>PhD-A</t>
        </is>
      </c>
      <c r="H7" s="10" t="inlineStr">
        <is>
          <t>Klaar</t>
        </is>
      </c>
      <c r="I7" s="10" t="inlineStr">
        <is>
          <t>Bijlage 3 samengesteld op 10 sep</t>
        </is>
      </c>
    </row>
    <row r="8" ht="25.5" customHeight="1" s="14">
      <c r="A8" s="9" t="inlineStr">
        <is>
          <t>1.1c</t>
        </is>
      </c>
      <c r="B8" s="10" t="inlineStr">
        <is>
          <t>Verzekering</t>
        </is>
      </c>
      <c r="C8" s="10" t="inlineStr">
        <is>
          <t>Foutloze aansprakelijkheid van de sponsor volgens de wet van 7 mei 2004, gedekt via polis</t>
        </is>
      </c>
      <c r="D8" s="10" t="inlineStr">
        <is>
          <t>1–2</t>
        </is>
      </c>
      <c r="E8" s="10" t="inlineStr">
        <is>
          <t>sep – okt 26</t>
        </is>
      </c>
      <c r="F8" s="10" t="inlineStr">
        <is>
          <t>D1.1</t>
        </is>
      </c>
      <c r="G8" s="10" t="inlineStr">
        <is>
          <t>KU Leuven rechtsdienst</t>
        </is>
      </c>
      <c r="H8" s="10" t="inlineStr">
        <is>
          <t>Te doen</t>
        </is>
      </c>
      <c r="I8" s="10" t="inlineStr">
        <is>
          <t>?</t>
        </is>
      </c>
    </row>
    <row r="9" ht="25.5" customHeight="1" s="14">
      <c r="A9" s="9" t="inlineStr">
        <is>
          <t>1.1d</t>
        </is>
      </c>
      <c r="B9" s="10" t="inlineStr">
        <is>
          <t>Wettelijk kader vastleggen</t>
        </is>
      </c>
      <c r="C9" s="10" t="inlineStr">
        <is>
          <t>ISO 14155:2020 · Verordening 2017/745 · Verordening 2016/679 · wet 22 dec 2020 · KB 18 mei 2021 · wet 22 aug 2002 · Helsinki · ICH-GCP E6(R3)</t>
        </is>
      </c>
      <c r="D9" s="10" t="inlineStr">
        <is>
          <t>1</t>
        </is>
      </c>
      <c r="E9" s="10" t="inlineStr">
        <is>
          <t>sep 26</t>
        </is>
      </c>
      <c r="F9" s="10" t="inlineStr">
        <is>
          <t>D1.1</t>
        </is>
      </c>
      <c r="G9" s="10" t="inlineStr">
        <is>
          <t>PhD-A</t>
        </is>
      </c>
      <c r="H9" s="10" t="inlineStr">
        <is>
          <t>Klaar</t>
        </is>
      </c>
      <c r="I9" s="10" t="n"/>
    </row>
    <row r="10" ht="25.5" customHeight="1" s="14">
      <c r="A10" s="9" t="inlineStr">
        <is>
          <t>1.1e</t>
        </is>
      </c>
      <c r="B10" s="10" t="inlineStr">
        <is>
          <t>Monitoringopzet laten bevestigen</t>
        </is>
      </c>
      <c r="C10" s="10" t="inlineStr">
        <is>
          <t>Het coördinerende comité moet de opzet en de verenigbaarheid met ISO 14155 en ICH-GCP E6 bevestigen vóór de indiening</t>
        </is>
      </c>
      <c r="D10" s="10" t="inlineStr">
        <is>
          <t>1–2</t>
        </is>
      </c>
      <c r="E10" s="10" t="inlineStr">
        <is>
          <t>sep – okt 26</t>
        </is>
      </c>
      <c r="F10" s="10" t="inlineStr">
        <is>
          <t>D1.1</t>
        </is>
      </c>
      <c r="G10" s="10" t="inlineStr">
        <is>
          <t>Coördinerend comité</t>
        </is>
      </c>
      <c r="H10" s="10" t="inlineStr">
        <is>
          <t>Te doen</t>
        </is>
      </c>
      <c r="I10" s="10" t="inlineStr">
        <is>
          <t>Openstaand punt 25</t>
        </is>
      </c>
    </row>
    <row r="11">
      <c r="A11" s="9" t="inlineStr">
        <is>
          <t>1.1f</t>
        </is>
      </c>
      <c r="B11" s="10" t="inlineStr">
        <is>
          <t>Zes lokale goedkeuringen</t>
        </is>
      </c>
      <c r="C11" s="10" t="inlineStr">
        <is>
          <t>Per centrum indienen na de centrale beslissing, binnen dertig dagen</t>
        </is>
      </c>
      <c r="D11" s="10" t="inlineStr">
        <is>
          <t>2–5</t>
        </is>
      </c>
      <c r="E11" s="10" t="inlineStr">
        <is>
          <t>okt 26 – jan 27</t>
        </is>
      </c>
      <c r="F11" s="10" t="inlineStr">
        <is>
          <t>D1.1</t>
        </is>
      </c>
      <c r="G11" s="10" t="inlineStr">
        <is>
          <t>PhD-A + site-PI</t>
        </is>
      </c>
      <c r="H11" s="10" t="inlineStr">
        <is>
          <t>Bezig</t>
        </is>
      </c>
      <c r="I11" s="10" t="n"/>
    </row>
    <row r="12">
      <c r="A12" s="9" t="inlineStr">
        <is>
          <t>1.1g</t>
        </is>
      </c>
      <c r="B12" s="10" t="inlineStr">
        <is>
          <t>Site Agreements</t>
        </is>
      </c>
      <c r="C12" s="10" t="inlineStr">
        <is>
          <t>Per ziekenhuis, opgesteld met de juridische dienst</t>
        </is>
      </c>
      <c r="D12" s="10" t="inlineStr">
        <is>
          <t>2–5</t>
        </is>
      </c>
      <c r="E12" s="10" t="inlineStr">
        <is>
          <t>okt 26 – jan 27</t>
        </is>
      </c>
      <c r="F12" s="10" t="inlineStr">
        <is>
          <t>D1.1</t>
        </is>
      </c>
      <c r="G12" s="10" t="inlineStr">
        <is>
          <t>KU Leuven juridisch</t>
        </is>
      </c>
      <c r="H12" s="10" t="inlineStr">
        <is>
          <t>Klaar</t>
        </is>
      </c>
      <c r="I12" s="10" t="n"/>
    </row>
    <row r="13">
      <c r="A13" s="9" t="inlineStr">
        <is>
          <t>1.1h</t>
        </is>
      </c>
      <c r="B13" s="10" t="inlineStr">
        <is>
          <t>Subsidiecontracten</t>
        </is>
      </c>
      <c r="C13" s="10" t="inlineStr">
        <is>
          <t>KU Leuven met elk partnerziekenhuis</t>
        </is>
      </c>
      <c r="D13" s="10" t="inlineStr">
        <is>
          <t>2–5</t>
        </is>
      </c>
      <c r="E13" s="10" t="inlineStr">
        <is>
          <t>okt 26 – jan 27</t>
        </is>
      </c>
      <c r="F13" s="10" t="inlineStr">
        <is>
          <t>D1.1</t>
        </is>
      </c>
      <c r="G13" s="10" t="inlineStr">
        <is>
          <t>KU Leuven</t>
        </is>
      </c>
      <c r="H13" s="10" t="inlineStr">
        <is>
          <t>Klaar</t>
        </is>
      </c>
      <c r="I13" s="10" t="n"/>
    </row>
    <row r="14" ht="25.5" customHeight="1" s="14">
      <c r="A14" s="9" t="inlineStr">
        <is>
          <t>1.1i</t>
        </is>
      </c>
      <c r="B14" s="10" t="inlineStr">
        <is>
          <t>Studieregistratie</t>
        </is>
      </c>
      <c r="C14" s="10" t="inlineStr">
        <is>
          <t>ClinicalTrials.gov en BELCRI, vóór de eerste deelnemer. Vult meteen drie blanco velden in het manuscript</t>
        </is>
      </c>
      <c r="D14" s="10" t="inlineStr">
        <is>
          <t>2</t>
        </is>
      </c>
      <c r="E14" s="10" t="inlineStr">
        <is>
          <t>okt 26</t>
        </is>
      </c>
      <c r="F14" s="10" t="inlineStr">
        <is>
          <t>D1.1</t>
        </is>
      </c>
      <c r="G14" s="10" t="inlineStr">
        <is>
          <t>PhD-A</t>
        </is>
      </c>
      <c r="H14" s="10" t="inlineStr">
        <is>
          <t>Te doen</t>
        </is>
      </c>
      <c r="I14" s="10" t="inlineStr">
        <is>
          <t>Openstaand punt 21</t>
        </is>
      </c>
    </row>
    <row r="15">
      <c r="A15" s="9" t="inlineStr">
        <is>
          <t>1.1j</t>
        </is>
      </c>
      <c r="B15" s="10" t="inlineStr">
        <is>
          <t>Verwerkersovereenkomsten</t>
        </is>
      </c>
      <c r="C15" s="10" t="inlineStr">
        <is>
          <t>Per centrum, plus aanmelding bij de DPO en een datastroomdiagram</t>
        </is>
      </c>
      <c r="D15" s="10" t="inlineStr">
        <is>
          <t>2–3</t>
        </is>
      </c>
      <c r="E15" s="10" t="inlineStr">
        <is>
          <t>okt – nov 26</t>
        </is>
      </c>
      <c r="F15" s="10" t="inlineStr">
        <is>
          <t>D1.1</t>
        </is>
      </c>
      <c r="G15" s="10" t="inlineStr">
        <is>
          <t>DPO + PhD-A</t>
        </is>
      </c>
      <c r="H15" s="10" t="inlineStr">
        <is>
          <t>Klaar</t>
        </is>
      </c>
      <c r="I15" s="10" t="n"/>
    </row>
    <row r="16">
      <c r="A16" s="9" t="inlineStr">
        <is>
          <t>1.1k</t>
        </is>
      </c>
      <c r="B16" s="10" t="inlineStr">
        <is>
          <t>Bewaartermijn vastleggen</t>
        </is>
      </c>
      <c r="C16" s="10" t="inlineStr">
        <is>
          <t>Tien of vijftien jaar — de twee manuscriptversies spreken elkaar tegen</t>
        </is>
      </c>
      <c r="D16" s="10" t="inlineStr">
        <is>
          <t>2</t>
        </is>
      </c>
      <c r="E16" s="10" t="inlineStr">
        <is>
          <t>okt 26</t>
        </is>
      </c>
      <c r="F16" s="10" t="inlineStr">
        <is>
          <t>D1.1</t>
        </is>
      </c>
      <c r="G16" s="10" t="inlineStr">
        <is>
          <t>PhD-A</t>
        </is>
      </c>
      <c r="H16" s="10" t="inlineStr">
        <is>
          <t>Te doen</t>
        </is>
      </c>
      <c r="I16" s="10" t="inlineStr">
        <is>
          <t>Openstaand punt 10</t>
        </is>
      </c>
    </row>
    <row r="17">
      <c r="A17" s="16" t="inlineStr">
        <is>
          <t>Taak 1.2 — Assessment booklet · M1–5 · D1.2 · MS1</t>
        </is>
      </c>
      <c r="B17" s="20" t="n"/>
      <c r="C17" s="20" t="n"/>
      <c r="D17" s="20" t="n"/>
      <c r="E17" s="20" t="n"/>
      <c r="F17" s="20" t="n"/>
      <c r="G17" s="20" t="n"/>
      <c r="H17" s="20" t="n"/>
      <c r="I17" s="21" t="n"/>
    </row>
    <row r="18" ht="75" customHeight="1" s="14">
      <c r="A18" s="9" t="inlineStr">
        <is>
          <t>1.2a</t>
        </is>
      </c>
      <c r="B18" s="10" t="inlineStr">
        <is>
          <t>Gebruiksrechten instrumenten</t>
        </is>
      </c>
      <c r="C18" s="10" t="inlineStr">
        <is>
          <t>NAFF, HLS-EU-6, EQ-5D-5L (licentie EuroQol), iMCQ en iPCQ (iMTA), MOS-revised, slijtageschaal — met copyright-log</t>
        </is>
      </c>
      <c r="D18" s="10" t="inlineStr">
        <is>
          <t>1–2</t>
        </is>
      </c>
      <c r="E18" s="10" t="inlineStr">
        <is>
          <t>sep – okt 26</t>
        </is>
      </c>
      <c r="F18" s="10" t="inlineStr">
        <is>
          <t>D1.2</t>
        </is>
      </c>
      <c r="G18" s="10" t="inlineStr">
        <is>
          <t>PhD-A</t>
        </is>
      </c>
      <c r="H18" s="10" t="inlineStr">
        <is>
          <t>Te doen</t>
        </is>
      </c>
      <c r="I18" s="19" t="inlineStr">
        <is>
          <t>Register to use a EuroQol instrument - EuroQol https://www.imta.nl/questionnaires/imcq/register/?utm_source=chatgpt.com</t>
        </is>
      </c>
    </row>
    <row r="19" ht="25.5" customHeight="1" s="14">
      <c r="A19" s="9" t="inlineStr">
        <is>
          <t>1.2b</t>
        </is>
      </c>
      <c r="B19" s="10" t="inlineStr">
        <is>
          <t>CRF-set</t>
        </is>
      </c>
      <c r="C19" s="10" t="inlineStr">
        <is>
          <t>Volgens tabel 2 van het manuscript; papieren bronformulieren, daarna overzetten naar het elektronische CRF</t>
        </is>
      </c>
      <c r="D19" s="10" t="inlineStr">
        <is>
          <t>2–4</t>
        </is>
      </c>
      <c r="E19" s="10" t="inlineStr">
        <is>
          <t>okt – dec 26</t>
        </is>
      </c>
      <c r="F19" s="10" t="inlineStr">
        <is>
          <t>D1.2</t>
        </is>
      </c>
      <c r="G19" s="10" t="inlineStr">
        <is>
          <t>PhD-A + PhD-B</t>
        </is>
      </c>
      <c r="H19" s="10" t="inlineStr">
        <is>
          <t>Te doen</t>
        </is>
      </c>
      <c r="I19" s="10" t="n"/>
    </row>
    <row r="20">
      <c r="A20" s="9" t="inlineStr">
        <is>
          <t>1.2c</t>
        </is>
      </c>
      <c r="B20" s="10" t="inlineStr">
        <is>
          <t>Folder dagelijkse voetzorg</t>
        </is>
      </c>
      <c r="C20" s="10" t="inlineStr">
        <is>
          <t>Het document dat de patiënt mee naar huis krijgt</t>
        </is>
      </c>
      <c r="D20" s="10" t="inlineStr">
        <is>
          <t>2–4</t>
        </is>
      </c>
      <c r="E20" s="10" t="inlineStr">
        <is>
          <t>okt – dec 26</t>
        </is>
      </c>
      <c r="F20" s="10" t="inlineStr">
        <is>
          <t>D1.2</t>
        </is>
      </c>
      <c r="G20" s="10" t="inlineStr">
        <is>
          <t>PhD-A</t>
        </is>
      </c>
      <c r="H20" s="10" t="inlineStr">
        <is>
          <t>Klaar</t>
        </is>
      </c>
      <c r="I20" s="10" t="inlineStr">
        <is>
          <t>48_Voetzorgfolder bestaat</t>
        </is>
      </c>
    </row>
    <row r="21">
      <c r="A21" s="9" t="inlineStr">
        <is>
          <t>1.2d</t>
        </is>
      </c>
      <c r="B21" s="10" t="inlineStr">
        <is>
          <t>Educatiekaart schoeisel</t>
        </is>
      </c>
      <c r="C21" s="10" t="inlineStr">
        <is>
          <t>Binnen én buiten dragen, visueel schema</t>
        </is>
      </c>
      <c r="D21" s="10" t="inlineStr">
        <is>
          <t>2–4</t>
        </is>
      </c>
      <c r="E21" s="10" t="inlineStr">
        <is>
          <t>okt – dec 26</t>
        </is>
      </c>
      <c r="F21" s="10" t="inlineStr">
        <is>
          <t>D1.2</t>
        </is>
      </c>
      <c r="G21" s="10" t="inlineStr">
        <is>
          <t>PhD-A</t>
        </is>
      </c>
      <c r="H21" s="10" t="inlineStr">
        <is>
          <t>Te doen</t>
        </is>
      </c>
      <c r="I21" s="10" t="n"/>
    </row>
    <row r="22">
      <c r="A22" s="9" t="inlineStr">
        <is>
          <t>1.2e</t>
        </is>
      </c>
      <c r="B22" s="10" t="inlineStr">
        <is>
          <t>Uitlegfiche Orthotimer</t>
        </is>
      </c>
      <c r="C22" s="10" t="inlineStr">
        <is>
          <t>Framing als 'uw sensor': enkel temperatuur, geen GPS, geluid of camera</t>
        </is>
      </c>
      <c r="D22" s="10" t="inlineStr">
        <is>
          <t>2–4</t>
        </is>
      </c>
      <c r="E22" s="10" t="inlineStr">
        <is>
          <t>okt – dec 26</t>
        </is>
      </c>
      <c r="F22" s="10" t="inlineStr">
        <is>
          <t>D1.2</t>
        </is>
      </c>
      <c r="G22" s="10" t="inlineStr">
        <is>
          <t>PhD-A</t>
        </is>
      </c>
      <c r="H22" s="10" t="inlineStr">
        <is>
          <t>Klaar</t>
        </is>
      </c>
      <c r="I22" s="10" t="n"/>
    </row>
    <row r="23" ht="25.5" customHeight="1" s="14">
      <c r="A23" s="9" t="inlineStr">
        <is>
          <t>1.2f</t>
        </is>
      </c>
      <c r="B23" s="10" t="inlineStr">
        <is>
          <t>Feedbacksjabloon therapietrouw</t>
        </is>
      </c>
      <c r="C23" s="10" t="inlineStr">
        <is>
          <t>Visuele weergave van de sensordata voor stap 3 en 4</t>
        </is>
      </c>
      <c r="D23" s="10" t="inlineStr">
        <is>
          <t>2–4</t>
        </is>
      </c>
      <c r="E23" s="10" t="inlineStr">
        <is>
          <t>okt – dec 26</t>
        </is>
      </c>
      <c r="F23" s="10" t="inlineStr">
        <is>
          <t>D1.2</t>
        </is>
      </c>
      <c r="G23" s="10" t="inlineStr">
        <is>
          <t>PhD-A</t>
        </is>
      </c>
      <c r="H23" s="10" t="inlineStr">
        <is>
          <t>Te doen</t>
        </is>
      </c>
      <c r="I23" s="10" t="n"/>
    </row>
    <row r="24">
      <c r="A24" s="9" t="inlineStr">
        <is>
          <t>1.2g</t>
        </is>
      </c>
      <c r="B24" s="10" t="inlineStr">
        <is>
          <t>Leesbaarheidstest</t>
        </is>
      </c>
      <c r="C24" s="10" t="inlineStr">
        <is>
          <t>Maximaal B1-niveau, bij drie pilootpatiënten</t>
        </is>
      </c>
      <c r="D24" s="10" t="inlineStr">
        <is>
          <t>4</t>
        </is>
      </c>
      <c r="E24" s="10" t="inlineStr">
        <is>
          <t>dec 26</t>
        </is>
      </c>
      <c r="F24" s="10" t="inlineStr">
        <is>
          <t>D1.2</t>
        </is>
      </c>
      <c r="G24" s="10" t="inlineStr">
        <is>
          <t>PhD-A + Diabetes Liga</t>
        </is>
      </c>
      <c r="H24" s="10" t="inlineStr">
        <is>
          <t>Te doen</t>
        </is>
      </c>
      <c r="I24" s="10" t="n"/>
    </row>
    <row r="25" ht="25.5" customHeight="1" s="14">
      <c r="A25" s="9" t="inlineStr">
        <is>
          <t>1.2h</t>
        </is>
      </c>
      <c r="B25" s="10" t="inlineStr">
        <is>
          <t>Consensusvergadering</t>
        </is>
      </c>
      <c r="C25" s="10" t="inlineStr">
        <is>
          <t>Pre-read twee weken vooraf, per instrument een kwartier, ondertekende notulen</t>
        </is>
      </c>
      <c r="D25" s="10" t="inlineStr">
        <is>
          <t>4</t>
        </is>
      </c>
      <c r="E25" s="10" t="inlineStr">
        <is>
          <t>dec 26</t>
        </is>
      </c>
      <c r="F25" s="10" t="inlineStr">
        <is>
          <t>D1.2</t>
        </is>
      </c>
      <c r="G25" s="10" t="inlineStr">
        <is>
          <t>Deschamps + partners</t>
        </is>
      </c>
      <c r="H25" s="10" t="inlineStr">
        <is>
          <t>Te doen</t>
        </is>
      </c>
      <c r="I25" s="10" t="inlineStr">
        <is>
          <t>Levert MS1</t>
        </is>
      </c>
    </row>
    <row r="26">
      <c r="A26" s="16" t="inlineStr">
        <is>
          <t>Taak 1.3 — Protocollen voor Usual en Optimal Care · M1–5 · D1.3</t>
        </is>
      </c>
      <c r="B26" s="20" t="n"/>
      <c r="C26" s="20" t="n"/>
      <c r="D26" s="20" t="n"/>
      <c r="E26" s="20" t="n"/>
      <c r="F26" s="20" t="n"/>
      <c r="G26" s="20" t="n"/>
      <c r="H26" s="20" t="n"/>
      <c r="I26" s="21" t="n"/>
    </row>
    <row r="27" ht="25.5" customHeight="1" s="14">
      <c r="A27" s="9" t="inlineStr">
        <is>
          <t>SOP-1</t>
        </is>
      </c>
      <c r="B27" s="10" t="inlineStr">
        <is>
          <t>Voetscreening en IWGDF-classificatie</t>
        </is>
      </c>
      <c r="C27" s="10" t="inlineStr">
        <is>
          <t>Onderzoeksvolgorde, afkappunten, fotografieprotocol, beslisboom, inter-rater reliability κ ≥ 0,80</t>
        </is>
      </c>
      <c r="D27" s="10" t="inlineStr">
        <is>
          <t>2</t>
        </is>
      </c>
      <c r="E27" s="10" t="inlineStr">
        <is>
          <t>okt 26</t>
        </is>
      </c>
      <c r="F27" s="10" t="inlineStr">
        <is>
          <t>D1.3</t>
        </is>
      </c>
      <c r="G27" s="10" t="inlineStr">
        <is>
          <t>PhD-A + podoloog + KU Leuven</t>
        </is>
      </c>
      <c r="H27" s="10" t="inlineStr">
        <is>
          <t>Te doen</t>
        </is>
      </c>
      <c r="I27" s="10" t="n"/>
    </row>
    <row r="28" ht="38.25" customHeight="1" s="14">
      <c r="A28" s="9" t="inlineStr">
        <is>
          <t>SOP-2</t>
        </is>
      </c>
      <c r="B28" s="10" t="inlineStr">
        <is>
          <t>Plantaire drukmeting</t>
        </is>
      </c>
      <c r="C28" s="10" t="inlineStr">
        <is>
          <t>Pedar als klinisch toestel met trublu-kalibratie; F-Scan GO alleen studieteam; acht regio's; alles in-shoe, zónder én mét de zool gemeten; norm &lt; 200 kPa mét de zool óf ≥ 25% lager dan zonder, in dezelfde sessie; behaalde reductie als fidelity-maat</t>
        </is>
      </c>
      <c r="D28" s="10" t="inlineStr">
        <is>
          <t>2–3</t>
        </is>
      </c>
      <c r="E28" s="10" t="inlineStr">
        <is>
          <t>okt – nov 26</t>
        </is>
      </c>
      <c r="F28" s="10" t="inlineStr">
        <is>
          <t>D1.3</t>
        </is>
      </c>
      <c r="G28" s="10" t="inlineStr">
        <is>
          <t>PhD-A + technoloog</t>
        </is>
      </c>
      <c r="H28" s="10" t="inlineStr">
        <is>
          <t>Te doen</t>
        </is>
      </c>
      <c r="I28" s="10" t="inlineStr">
        <is>
          <t>Werkinstructie pedar ontbreekt — punt 16</t>
        </is>
      </c>
    </row>
    <row r="29" ht="25.5" customHeight="1" s="14">
      <c r="A29" s="9" t="inlineStr">
        <is>
          <t>SOP-3</t>
        </is>
      </c>
      <c r="B29" s="10" t="inlineStr">
        <is>
          <t>Schoeisel, CMFO en Orthotimer</t>
        </is>
      </c>
      <c r="C29" s="10" t="inlineStr">
        <is>
          <t>Opbouw per schoentype, mediale steun 3-5 mm, metatarsaalbalk 9-10 mm, deklaag, pasvorm binnen én buiten met fotodocumentatie</t>
        </is>
      </c>
      <c r="D29" s="10" t="inlineStr">
        <is>
          <t>2–3</t>
        </is>
      </c>
      <c r="E29" s="10" t="inlineStr">
        <is>
          <t>okt – nov 26</t>
        </is>
      </c>
      <c r="F29" s="10" t="inlineStr">
        <is>
          <t>D1.3</t>
        </is>
      </c>
      <c r="G29" s="10" t="inlineStr">
        <is>
          <t>Pedorthist + PhD-A</t>
        </is>
      </c>
      <c r="H29" s="10" t="inlineStr">
        <is>
          <t>Klaar</t>
        </is>
      </c>
      <c r="I29" s="10" t="n"/>
    </row>
    <row r="30" ht="25.5" customHeight="1" s="14">
      <c r="A30" s="9" t="inlineStr">
        <is>
          <t>SOP-4</t>
        </is>
      </c>
      <c r="B30" s="10" t="inlineStr">
        <is>
          <t>Uitlezen en therapietrouwnorm</t>
        </is>
      </c>
      <c r="C30" s="10" t="inlineStr">
        <is>
          <t>Waaktijd als noemer, 80% als responderdrempel, tussenresultaat tonen in uren</t>
        </is>
      </c>
      <c r="D30" s="10" t="inlineStr">
        <is>
          <t>3</t>
        </is>
      </c>
      <c r="E30" s="10" t="inlineStr">
        <is>
          <t>nov 26</t>
        </is>
      </c>
      <c r="F30" s="10" t="inlineStr">
        <is>
          <t>D1.3</t>
        </is>
      </c>
      <c r="G30" s="10" t="inlineStr">
        <is>
          <t>PhD-A + statisticus</t>
        </is>
      </c>
      <c r="H30" s="10" t="inlineStr">
        <is>
          <t>Te doen</t>
        </is>
      </c>
      <c r="I30" s="10" t="n"/>
    </row>
    <row r="31" ht="25.5" customHeight="1" s="14">
      <c r="A31" s="9" t="inlineStr">
        <is>
          <t>SOP-5</t>
        </is>
      </c>
      <c r="B31" s="10" t="inlineStr">
        <is>
          <t>SEBIA — vijf stappen</t>
        </is>
      </c>
      <c r="C31" s="10" t="inlineStr">
        <is>
          <t>Stap 1 baseline, 2 op visite 2, 3 op maand 6 en 12, 4 op maand 9 en 15, 5 op maand 18</t>
        </is>
      </c>
      <c r="D31" s="10" t="inlineStr">
        <is>
          <t>2–4</t>
        </is>
      </c>
      <c r="E31" s="10" t="inlineStr">
        <is>
          <t>okt – dec 26</t>
        </is>
      </c>
      <c r="F31" s="10" t="inlineStr">
        <is>
          <t>D1.3</t>
        </is>
      </c>
      <c r="G31" s="10" t="inlineStr">
        <is>
          <t>PhD-A + Dobbels</t>
        </is>
      </c>
      <c r="H31" s="10" t="inlineStr">
        <is>
          <t>Te doen</t>
        </is>
      </c>
      <c r="I31" s="10" t="n"/>
    </row>
    <row r="32">
      <c r="A32" s="9" t="inlineStr">
        <is>
          <t>SOP-6</t>
        </is>
      </c>
      <c r="B32" s="10" t="inlineStr">
        <is>
          <t>Ulcusdetectie en documentatie</t>
        </is>
      </c>
      <c r="C32" s="10" t="inlineStr">
        <is>
          <t>Zie taak 1.4</t>
        </is>
      </c>
      <c r="D32" s="10" t="inlineStr">
        <is>
          <t>2</t>
        </is>
      </c>
      <c r="E32" s="10" t="inlineStr">
        <is>
          <t>okt 26</t>
        </is>
      </c>
      <c r="F32" s="10" t="inlineStr">
        <is>
          <t>D1.4</t>
        </is>
      </c>
      <c r="G32" s="10" t="inlineStr">
        <is>
          <t>PhD-A + arts</t>
        </is>
      </c>
      <c r="H32" s="10" t="inlineStr">
        <is>
          <t>Te doen</t>
        </is>
      </c>
      <c r="I32" s="10" t="n"/>
    </row>
    <row r="33" ht="25.5" customHeight="1" s="14">
      <c r="A33" s="9" t="inlineStr">
        <is>
          <t>SOP-7</t>
        </is>
      </c>
      <c r="B33" s="10" t="inlineStr">
        <is>
          <t>Randomisatie en blindering</t>
        </is>
      </c>
      <c r="C33" s="10" t="inlineStr">
        <is>
          <t>Identieke enveloppen, door elkaar gestoken; openen pas na geschiktheid, toestemming en baselinemetingen; documenteren met datum, uur en code</t>
        </is>
      </c>
      <c r="D33" s="10" t="inlineStr">
        <is>
          <t>3</t>
        </is>
      </c>
      <c r="E33" s="10" t="inlineStr">
        <is>
          <t>nov 26</t>
        </is>
      </c>
      <c r="F33" s="10" t="inlineStr">
        <is>
          <t>D1.3</t>
        </is>
      </c>
      <c r="G33" s="10" t="inlineStr">
        <is>
          <t>PhD-A+ Deschamps</t>
        </is>
      </c>
      <c r="H33" s="10" t="inlineStr">
        <is>
          <t>Te doen</t>
        </is>
      </c>
      <c r="I33" s="10" t="inlineStr">
        <is>
          <t>Methode nog nergens beschreven — punt 2</t>
        </is>
      </c>
    </row>
    <row r="34" ht="25.5" customHeight="1" s="14">
      <c r="A34" s="9" t="inlineStr">
        <is>
          <t>SOP-8</t>
        </is>
      </c>
      <c r="B34" s="10" t="inlineStr">
        <is>
          <t>Databeheer en monitoring</t>
        </is>
      </c>
      <c r="C34" s="10" t="inlineStr">
        <is>
          <t>Rollen, wekelijks querymanagement, afwijkingenlog, dagelijkse back-up, risicogebaseerd monitoringplan</t>
        </is>
      </c>
      <c r="D34" s="10" t="inlineStr">
        <is>
          <t>3–4</t>
        </is>
      </c>
      <c r="E34" s="10" t="inlineStr">
        <is>
          <t>nov – dec 26</t>
        </is>
      </c>
      <c r="F34" s="10" t="inlineStr">
        <is>
          <t>D1.3</t>
        </is>
      </c>
      <c r="G34" s="10" t="inlineStr">
        <is>
          <t>PhD-A + Deschamps</t>
        </is>
      </c>
      <c r="H34" s="10" t="inlineStr">
        <is>
          <t>Te doen</t>
        </is>
      </c>
      <c r="I34" s="10" t="n"/>
    </row>
    <row r="35">
      <c r="A35" s="16" t="inlineStr">
        <is>
          <t>Taak 1.4 — Ulcusprotocol · M1–5 · D1.4 · draagt het primaire eindpunt</t>
        </is>
      </c>
      <c r="B35" s="20" t="n"/>
      <c r="C35" s="20" t="n"/>
      <c r="D35" s="20" t="n"/>
      <c r="E35" s="20" t="n"/>
      <c r="F35" s="20" t="n"/>
      <c r="G35" s="20" t="n"/>
      <c r="H35" s="20" t="n"/>
      <c r="I35" s="21" t="n"/>
    </row>
    <row r="36" ht="25.5" customHeight="1" s="14">
      <c r="A36" s="9" t="inlineStr">
        <is>
          <t>1.4a</t>
        </is>
      </c>
      <c r="B36" s="10" t="inlineStr">
        <is>
          <t>Definitie en afbakening</t>
        </is>
      </c>
      <c r="C36" s="10" t="inlineStr">
        <is>
          <t>IWGDF-definitie; wrijvingsletsels aan laterale of dorsale voet binnen drie weken na nieuw schoeisel tellen niet mee</t>
        </is>
      </c>
      <c r="D36" s="10" t="inlineStr">
        <is>
          <t>1–2</t>
        </is>
      </c>
      <c r="E36" s="10" t="inlineStr">
        <is>
          <t>sep – okt 26</t>
        </is>
      </c>
      <c r="F36" s="10" t="inlineStr">
        <is>
          <t>D1.4</t>
        </is>
      </c>
      <c r="G36" s="10" t="inlineStr">
        <is>
          <t>PhD-A + arts+ Deschamps</t>
        </is>
      </c>
      <c r="H36" s="10" t="inlineStr">
        <is>
          <t>Te doen</t>
        </is>
      </c>
      <c r="I36" s="10" t="n"/>
    </row>
    <row r="37" ht="25.5" customHeight="1" s="14">
      <c r="A37" s="9" t="inlineStr">
        <is>
          <t>1.4b</t>
        </is>
      </c>
      <c r="B37" s="10" t="inlineStr">
        <is>
          <t>Meldings- en documentatieroute</t>
        </is>
      </c>
      <c r="C37" s="10" t="inlineStr">
        <is>
          <t>Onmiddellijk aan de investigator; foto's, debridement, PEDIS en WIfI; geanonimiseerd naar een beveiligd platform</t>
        </is>
      </c>
      <c r="D37" s="10" t="inlineStr">
        <is>
          <t>2</t>
        </is>
      </c>
      <c r="E37" s="10" t="inlineStr">
        <is>
          <t>okt 26</t>
        </is>
      </c>
      <c r="F37" s="10" t="inlineStr">
        <is>
          <t>D1.4</t>
        </is>
      </c>
      <c r="G37" s="10" t="inlineStr">
        <is>
          <t>PhD-A</t>
        </is>
      </c>
      <c r="H37" s="10" t="inlineStr">
        <is>
          <t>Te doen</t>
        </is>
      </c>
      <c r="I37" s="10" t="inlineStr">
        <is>
          <t>ManGO</t>
        </is>
      </c>
    </row>
    <row r="38" ht="25.5" customHeight="1" s="14">
      <c r="A38" s="9" t="inlineStr">
        <is>
          <t>1.4c</t>
        </is>
      </c>
      <c r="B38" s="10" t="inlineStr">
        <is>
          <t>Fotoplatform regelen</t>
        </is>
      </c>
      <c r="C38" s="10" t="inlineStr">
        <is>
          <t>Keuze, gegevensbeschermingsbeoordeling, één aangeduide arts per centrum, één testcasus doorlopen</t>
        </is>
      </c>
      <c r="D38" s="10" t="inlineStr">
        <is>
          <t>2</t>
        </is>
      </c>
      <c r="E38" s="10" t="inlineStr">
        <is>
          <t>okt 26</t>
        </is>
      </c>
      <c r="F38" s="10" t="inlineStr">
        <is>
          <t>D1.4</t>
        </is>
      </c>
      <c r="G38" s="10" t="inlineStr">
        <is>
          <t>PhD-A + DPO</t>
        </is>
      </c>
      <c r="H38" s="10" t="inlineStr">
        <is>
          <t>Te doen</t>
        </is>
      </c>
      <c r="I38" s="10" t="inlineStr">
        <is>
          <t>Langste doorlooptijd buiten eigen controle</t>
        </is>
      </c>
    </row>
    <row r="39" ht="25.5" customHeight="1" s="14">
      <c r="A39" s="9" t="inlineStr">
        <is>
          <t>1.4d</t>
        </is>
      </c>
      <c r="B39" s="10" t="inlineStr">
        <is>
          <t>Beslissen wie het ulcus vaststelt</t>
        </is>
      </c>
      <c r="C39" s="10" t="inlineStr">
        <is>
          <t>Onafhankelijke geblindeerde commissie, of het multidisciplinaire team dat nu in het manuscript staat</t>
        </is>
      </c>
      <c r="D39" s="10" t="inlineStr">
        <is>
          <t>1</t>
        </is>
      </c>
      <c r="E39" s="10" t="inlineStr">
        <is>
          <t>sep 26</t>
        </is>
      </c>
      <c r="F39" s="10" t="inlineStr">
        <is>
          <t>D1.4</t>
        </is>
      </c>
      <c r="G39" s="10" t="inlineStr">
        <is>
          <t>Deschamps + PhD-A</t>
        </is>
      </c>
      <c r="H39" s="10" t="inlineStr">
        <is>
          <t>Te doen</t>
        </is>
      </c>
      <c r="I39" s="10" t="inlineStr">
        <is>
          <t>Openstaand punt 1 — eerst doen</t>
        </is>
      </c>
    </row>
    <row r="40" ht="25.5" customHeight="1" s="14">
      <c r="A40" s="9" t="inlineStr">
        <is>
          <t>1.4e</t>
        </is>
      </c>
      <c r="B40" s="10" t="inlineStr">
        <is>
          <t>AE- en SAE-procedure</t>
        </is>
      </c>
      <c r="C40" s="10" t="inlineStr">
        <is>
          <t>Registratie bij elke visite; sponsor binnen 72 u, EC en FAGG binnen 7 of 15 dagen</t>
        </is>
      </c>
      <c r="D40" s="10" t="inlineStr">
        <is>
          <t>2</t>
        </is>
      </c>
      <c r="E40" s="10" t="inlineStr">
        <is>
          <t>okt 26</t>
        </is>
      </c>
      <c r="F40" s="10" t="inlineStr">
        <is>
          <t>D1.4</t>
        </is>
      </c>
      <c r="G40" s="10" t="inlineStr">
        <is>
          <t>PhD-A</t>
        </is>
      </c>
      <c r="H40" s="10" t="inlineStr">
        <is>
          <t>Klaar</t>
        </is>
      </c>
      <c r="I40" s="10" t="n"/>
    </row>
    <row r="41">
      <c r="A41" s="16" t="inlineStr">
        <is>
          <t>Parallel — drie sporen zonder taaknummer, wel in de Go-criteria</t>
        </is>
      </c>
      <c r="B41" s="20" t="n"/>
      <c r="C41" s="20" t="n"/>
      <c r="D41" s="20" t="n"/>
      <c r="E41" s="20" t="n"/>
      <c r="F41" s="20" t="n"/>
      <c r="G41" s="20" t="n"/>
      <c r="H41" s="20" t="n"/>
      <c r="I41" s="21" t="n"/>
    </row>
    <row r="42" ht="25.5" customHeight="1" s="14">
      <c r="A42" s="9" t="inlineStr">
        <is>
          <t>P-A1</t>
        </is>
      </c>
      <c r="B42" s="10" t="inlineStr">
        <is>
          <t>Drukmeetsystemen</t>
        </is>
      </c>
      <c r="C42" s="10" t="inlineStr">
        <is>
          <t>Bestellen (levertijd zes tot acht weken), installeren, servicecontract, reserveonderdelen en kalibratiemateriaal</t>
        </is>
      </c>
      <c r="D42" s="10" t="inlineStr">
        <is>
          <t>1–2</t>
        </is>
      </c>
      <c r="E42" s="10" t="inlineStr">
        <is>
          <t>sep – okt 26</t>
        </is>
      </c>
      <c r="F42" s="10" t="inlineStr">
        <is>
          <t>—</t>
        </is>
      </c>
      <c r="G42" s="10" t="inlineStr">
        <is>
          <t>KU Leuven admin</t>
        </is>
      </c>
      <c r="H42" s="10" t="inlineStr">
        <is>
          <t>Te doen</t>
        </is>
      </c>
      <c r="I42" s="10" t="inlineStr">
        <is>
          <t>mail is uitgestuurd, installatie is volgende stap</t>
        </is>
      </c>
    </row>
    <row r="43" ht="25.5" customHeight="1" s="14">
      <c r="A43" s="9" t="inlineStr">
        <is>
          <t>P-A2</t>
        </is>
      </c>
      <c r="B43" s="10" t="inlineStr">
        <is>
          <t>Inter-rater reliability</t>
        </is>
      </c>
      <c r="C43" s="10" t="inlineStr">
        <is>
          <t>Twee operatoren, minstens vijftien personen per centrum, doel ICC ≥ 0,80, ook op vervormde voeten</t>
        </is>
      </c>
      <c r="D43" s="10" t="inlineStr">
        <is>
          <t>2–4</t>
        </is>
      </c>
      <c r="E43" s="10" t="inlineStr">
        <is>
          <t>okt – dec 26</t>
        </is>
      </c>
      <c r="F43" s="10" t="inlineStr">
        <is>
          <t>—</t>
        </is>
      </c>
      <c r="G43" s="10" t="inlineStr">
        <is>
          <t>PhD-A</t>
        </is>
      </c>
      <c r="H43" s="10" t="inlineStr">
        <is>
          <t>Te doen</t>
        </is>
      </c>
      <c r="I43" s="10" t="inlineStr">
        <is>
          <t>Op welk toestel? — punt 22</t>
        </is>
      </c>
    </row>
    <row r="44" ht="25.5" customHeight="1" s="14">
      <c r="A44" s="9" t="inlineStr">
        <is>
          <t>P-A3</t>
        </is>
      </c>
      <c r="B44" s="10" t="inlineStr">
        <is>
          <t>Orthotimer en MoveMonitor</t>
        </is>
      </c>
      <c r="C44" s="10" t="inlineStr">
        <is>
          <t>Sensoren, uitleessoftware, serienummerregister, uitgifte- en retourformulier, instructiekaart</t>
        </is>
      </c>
      <c r="D44" s="10" t="inlineStr">
        <is>
          <t>2–3</t>
        </is>
      </c>
      <c r="E44" s="10" t="inlineStr">
        <is>
          <t>okt – nov 26</t>
        </is>
      </c>
      <c r="F44" s="10" t="inlineStr">
        <is>
          <t>—</t>
        </is>
      </c>
      <c r="G44" s="10" t="inlineStr">
        <is>
          <t>PhD-A</t>
        </is>
      </c>
      <c r="H44" s="10" t="inlineStr">
        <is>
          <t>Te doen</t>
        </is>
      </c>
      <c r="I44" s="10" t="inlineStr">
        <is>
          <t>Aantal hangt af van punt 9</t>
        </is>
      </c>
    </row>
    <row r="45" ht="25.5" customHeight="1" s="14">
      <c r="A45" s="9" t="inlineStr">
        <is>
          <t>P-A4</t>
        </is>
      </c>
      <c r="B45" s="10" t="inlineStr">
        <is>
          <t>Databank bouwen REDCAP</t>
        </is>
      </c>
      <c r="C45" s="10" t="inlineStr">
        <is>
          <t>Screening, baseline, zes opvolgtijdstippen, eventformulieren, randomisatie, afwijkingenlog, procesevaluatie</t>
        </is>
      </c>
      <c r="D45" s="10" t="inlineStr">
        <is>
          <t>1–5</t>
        </is>
      </c>
      <c r="E45" s="10" t="inlineStr">
        <is>
          <t>sep 26 – jan 27</t>
        </is>
      </c>
      <c r="F45" s="10" t="inlineStr">
        <is>
          <t>—</t>
        </is>
      </c>
      <c r="G45" s="10" t="inlineStr">
        <is>
          <t>PhD-A + Deschamps</t>
        </is>
      </c>
      <c r="H45" s="10" t="inlineStr">
        <is>
          <t>Te doen</t>
        </is>
      </c>
      <c r="I45" s="10" t="n"/>
    </row>
    <row r="46" ht="25.5" customHeight="1" s="14">
      <c r="A46" s="9" t="inlineStr">
        <is>
          <t>P-A5</t>
        </is>
      </c>
      <c r="B46" s="10" t="inlineStr">
        <is>
          <t>Acceptatietest en versie-lock</t>
        </is>
      </c>
      <c r="C46" s="10" t="inlineStr">
        <is>
          <t>Eén testgebruiker per centrum de volledige flow laten doorlopen; nul kritische bugs</t>
        </is>
      </c>
      <c r="D46" s="10" t="inlineStr">
        <is>
          <t>4–5</t>
        </is>
      </c>
      <c r="E46" s="10" t="inlineStr">
        <is>
          <t>dec 26 – jan 27</t>
        </is>
      </c>
      <c r="F46" s="10" t="inlineStr">
        <is>
          <t>—</t>
        </is>
      </c>
      <c r="G46" s="10" t="inlineStr">
        <is>
          <t>PhD-A</t>
        </is>
      </c>
      <c r="H46" s="10" t="inlineStr">
        <is>
          <t>Te doen</t>
        </is>
      </c>
      <c r="I46" s="10" t="inlineStr">
        <is>
          <t>Go-criterium 3</t>
        </is>
      </c>
    </row>
    <row r="47">
      <c r="A47" s="9" t="inlineStr">
        <is>
          <t>P-B1</t>
        </is>
      </c>
      <c r="B47" s="10" t="inlineStr">
        <is>
          <t>Module 1 — theoretisch kader</t>
        </is>
      </c>
      <c r="C47" s="10" t="inlineStr">
        <is>
          <t>Vier uur, centraal, met kennistoets</t>
        </is>
      </c>
      <c r="D47" s="10" t="inlineStr">
        <is>
          <t>2–3</t>
        </is>
      </c>
      <c r="E47" s="10" t="inlineStr">
        <is>
          <t>okt – nov 26</t>
        </is>
      </c>
      <c r="F47" s="10" t="inlineStr">
        <is>
          <t>—</t>
        </is>
      </c>
      <c r="G47" s="10" t="inlineStr">
        <is>
          <t>Deschamps + PhD-A</t>
        </is>
      </c>
      <c r="H47" s="10" t="inlineStr">
        <is>
          <t>Te doen</t>
        </is>
      </c>
      <c r="I47" s="10" t="n"/>
    </row>
    <row r="48">
      <c r="A48" s="9" t="inlineStr">
        <is>
          <t>P-B2</t>
        </is>
      </c>
      <c r="B48" s="10" t="inlineStr">
        <is>
          <t>Module 2 — SEBIA hands-on</t>
        </is>
      </c>
      <c r="C48" s="10" t="inlineStr">
        <is>
          <t>Vier uur, drie casussen, rollenspel per stap, motiverende gespreksvoering</t>
        </is>
      </c>
      <c r="D48" s="10" t="inlineStr">
        <is>
          <t>3–4</t>
        </is>
      </c>
      <c r="E48" s="10" t="inlineStr">
        <is>
          <t>nov – dec 26</t>
        </is>
      </c>
      <c r="F48" s="10" t="inlineStr">
        <is>
          <t>—</t>
        </is>
      </c>
      <c r="G48" s="10" t="inlineStr">
        <is>
          <t>PhD-A + Dobbels</t>
        </is>
      </c>
      <c r="H48" s="10" t="inlineStr">
        <is>
          <t>Te doen</t>
        </is>
      </c>
      <c r="I48" s="10" t="n"/>
    </row>
    <row r="49" ht="25.5" customHeight="1" s="14">
      <c r="A49" s="9" t="inlineStr">
        <is>
          <t>P-B3</t>
        </is>
      </c>
      <c r="B49" s="10" t="inlineStr">
        <is>
          <t>Module 3 — technologie on-site</t>
        </is>
      </c>
      <c r="C49" s="10" t="inlineStr">
        <is>
          <t>Twee uur per centrum: kalibratie, regio-indeling, sensoren, troubleshooting</t>
        </is>
      </c>
      <c r="D49" s="10" t="inlineStr">
        <is>
          <t>3–4</t>
        </is>
      </c>
      <c r="E49" s="10" t="inlineStr">
        <is>
          <t>nov – dec 26</t>
        </is>
      </c>
      <c r="F49" s="10" t="inlineStr">
        <is>
          <t>—</t>
        </is>
      </c>
      <c r="G49" s="10" t="inlineStr">
        <is>
          <t>PhD-A</t>
        </is>
      </c>
      <c r="H49" s="10" t="inlineStr">
        <is>
          <t>Te doen</t>
        </is>
      </c>
      <c r="I49" s="10" t="n"/>
    </row>
    <row r="50" ht="25.5" customHeight="1" s="14">
      <c r="A50" s="9" t="inlineStr">
        <is>
          <t>P-B4</t>
        </is>
      </c>
      <c r="B50" s="10" t="inlineStr">
        <is>
          <t>Module 4 — certificering</t>
        </is>
      </c>
      <c r="C50" s="10" t="inlineStr">
        <is>
          <t>Vier uur met gesimuleerde patiëntcontacten; kennistoets ≥ 80% en alle domeinen ≥ 3 op 4</t>
        </is>
      </c>
      <c r="D50" s="10" t="inlineStr">
        <is>
          <t>4–5</t>
        </is>
      </c>
      <c r="E50" s="10" t="inlineStr">
        <is>
          <t>dec 26 – jan 27</t>
        </is>
      </c>
      <c r="F50" s="10" t="inlineStr">
        <is>
          <t>—</t>
        </is>
      </c>
      <c r="G50" s="10" t="inlineStr">
        <is>
          <t>Dobbels + PhD-A</t>
        </is>
      </c>
      <c r="H50" s="10" t="inlineStr">
        <is>
          <t>Te doen</t>
        </is>
      </c>
      <c r="I50" s="10" t="inlineStr">
        <is>
          <t>Go-criterium 4</t>
        </is>
      </c>
    </row>
    <row r="51">
      <c r="A51" s="9" t="inlineStr">
        <is>
          <t>P-B5</t>
        </is>
      </c>
      <c r="B51" s="10" t="inlineStr">
        <is>
          <t>Module 5 — data-entry</t>
        </is>
      </c>
      <c r="C51" s="10" t="inlineStr">
        <is>
          <t>Twee uur per centrum; omvang hangt af van de formulierenroute</t>
        </is>
      </c>
      <c r="D51" s="10" t="inlineStr">
        <is>
          <t>4–5</t>
        </is>
      </c>
      <c r="E51" s="10" t="inlineStr">
        <is>
          <t>dec 26 – jan 27</t>
        </is>
      </c>
      <c r="F51" s="10" t="inlineStr">
        <is>
          <t>—</t>
        </is>
      </c>
      <c r="G51" s="10" t="inlineStr">
        <is>
          <t xml:space="preserve">PhD-A </t>
        </is>
      </c>
      <c r="H51" s="10" t="inlineStr">
        <is>
          <t>Te doen</t>
        </is>
      </c>
      <c r="I51" s="10" t="inlineStr">
        <is>
          <t>Openstaand punt 20</t>
        </is>
      </c>
    </row>
    <row r="52" ht="25.5" customHeight="1" s="14">
      <c r="A52" s="9" t="inlineStr">
        <is>
          <t>P-C1</t>
        </is>
      </c>
      <c r="B52" s="10" t="inlineStr">
        <is>
          <t>Methodevergelijking pedar – F-Scan GO</t>
        </is>
      </c>
      <c r="C52" s="10" t="inlineStr">
        <is>
          <t>Parallel aan de trial, door het studieteam; Bland-Altman, ICC per regio, Passing-Bablok, ROC, kappa</t>
        </is>
      </c>
      <c r="D52" s="10" t="inlineStr">
        <is>
          <t>2 en verder</t>
        </is>
      </c>
      <c r="E52" s="10" t="inlineStr">
        <is>
          <t>okt 26 →</t>
        </is>
      </c>
      <c r="F52" s="10" t="inlineStr">
        <is>
          <t>—</t>
        </is>
      </c>
      <c r="G52" s="10" t="inlineStr">
        <is>
          <t>PhD-A</t>
        </is>
      </c>
      <c r="H52" s="10" t="inlineStr">
        <is>
          <t>Te doen</t>
        </is>
      </c>
      <c r="I52" s="10" t="inlineStr">
        <is>
          <t>Geen startvoorwaarde — punt 22</t>
        </is>
      </c>
    </row>
    <row r="53">
      <c r="A53" s="16" t="inlineStr">
        <is>
          <t>Taak 1.5 — Piloot en Go/No-Go · M5–6 · D1.5 · MS3</t>
        </is>
      </c>
      <c r="B53" s="20" t="n"/>
      <c r="C53" s="20" t="n"/>
      <c r="D53" s="20" t="n"/>
      <c r="E53" s="20" t="n"/>
      <c r="F53" s="20" t="n"/>
      <c r="G53" s="20" t="n"/>
      <c r="H53" s="20" t="n"/>
      <c r="I53" s="21" t="n"/>
    </row>
    <row r="54" ht="25.5" customHeight="1" s="14">
      <c r="A54" s="9" t="inlineStr">
        <is>
          <t>1.5a</t>
        </is>
      </c>
      <c r="B54" s="10" t="inlineStr">
        <is>
          <t>Pilootpatiënten selecteren</t>
        </is>
      </c>
      <c r="C54" s="10" t="inlineStr">
        <is>
          <t>Eén per centrum, risicocategorie 3, geen studiepatiënt, met aparte toestemming</t>
        </is>
      </c>
      <c r="D54" s="10" t="inlineStr">
        <is>
          <t>4–5</t>
        </is>
      </c>
      <c r="E54" s="10" t="inlineStr">
        <is>
          <t>dec 26 – jan 27</t>
        </is>
      </c>
      <c r="F54" s="10" t="inlineStr">
        <is>
          <t>D1.5</t>
        </is>
      </c>
      <c r="G54" s="10" t="inlineStr">
        <is>
          <t>Lokale PI</t>
        </is>
      </c>
      <c r="H54" s="10" t="inlineStr">
        <is>
          <t>Te doen</t>
        </is>
      </c>
      <c r="I54" s="10" t="n"/>
    </row>
    <row r="55" ht="25.5" customHeight="1" s="14">
      <c r="A55" s="9" t="inlineStr">
        <is>
          <t>1.5b</t>
        </is>
      </c>
      <c r="B55" s="10" t="inlineStr">
        <is>
          <t>Pilootconsent laten goedkeuren</t>
        </is>
      </c>
      <c r="C55" s="10" t="inlineStr">
        <is>
          <t>Beschrijft de piloot als testrun, niet als klinische studie</t>
        </is>
      </c>
      <c r="D55" s="10" t="inlineStr">
        <is>
          <t>4</t>
        </is>
      </c>
      <c r="E55" s="10" t="inlineStr">
        <is>
          <t>dec 26</t>
        </is>
      </c>
      <c r="F55" s="10" t="inlineStr">
        <is>
          <t>D1.5</t>
        </is>
      </c>
      <c r="G55" s="10" t="inlineStr">
        <is>
          <t>PhD-A</t>
        </is>
      </c>
      <c r="H55" s="10" t="inlineStr">
        <is>
          <t>Te doen</t>
        </is>
      </c>
      <c r="I55" s="10" t="n"/>
    </row>
    <row r="56" ht="25.5" customHeight="1" s="14">
      <c r="A56" s="9" t="inlineStr">
        <is>
          <t>1.5c</t>
        </is>
      </c>
      <c r="B56" s="10" t="inlineStr">
        <is>
          <t>Pilootbezoek uitvoeren</t>
        </is>
      </c>
      <c r="C56" s="10" t="inlineStr">
        <is>
          <t>Volledige keten met tijdregistratie per onderdeel; doel onder negentig minuten productief</t>
        </is>
      </c>
      <c r="D56" s="10" t="inlineStr">
        <is>
          <t>5–6</t>
        </is>
      </c>
      <c r="E56" s="10" t="inlineStr">
        <is>
          <t>jan – feb 27</t>
        </is>
      </c>
      <c r="F56" s="10" t="inlineStr">
        <is>
          <t>D1.5</t>
        </is>
      </c>
      <c r="G56" s="10" t="inlineStr">
        <is>
          <t>Podoloog + technoloog</t>
        </is>
      </c>
      <c r="H56" s="10" t="inlineStr">
        <is>
          <t>Te doen</t>
        </is>
      </c>
      <c r="I56" s="10" t="inlineStr">
        <is>
          <t>PhD-A observeert in elk centrum</t>
        </is>
      </c>
    </row>
    <row r="57" ht="25.5" customHeight="1" s="14">
      <c r="A57" s="9" t="inlineStr">
        <is>
          <t>1.5d</t>
        </is>
      </c>
      <c r="B57" s="10" t="inlineStr">
        <is>
          <t>Debriefing per centrum</t>
        </is>
      </c>
      <c r="C57" s="10" t="inlineStr">
        <is>
          <t>Dertig minuten binnen de week; elk knelpunt als kritisch of optimaliseerbaar</t>
        </is>
      </c>
      <c r="D57" s="10" t="inlineStr">
        <is>
          <t>6</t>
        </is>
      </c>
      <c r="E57" s="10" t="inlineStr">
        <is>
          <t>feb 27</t>
        </is>
      </c>
      <c r="F57" s="10" t="inlineStr">
        <is>
          <t>D1.5</t>
        </is>
      </c>
      <c r="G57" s="10" t="inlineStr">
        <is>
          <t>PhD-A</t>
        </is>
      </c>
      <c r="H57" s="10" t="inlineStr">
        <is>
          <t>Te doen</t>
        </is>
      </c>
      <c r="I57" s="10" t="n"/>
    </row>
    <row r="58">
      <c r="A58" s="9" t="inlineStr">
        <is>
          <t>1.5e</t>
        </is>
      </c>
      <c r="B58" s="10" t="inlineStr">
        <is>
          <t>Pilootrapport en updates</t>
        </is>
      </c>
      <c r="C58" s="10" t="inlineStr">
        <is>
          <t>Knelpuntenmatrix, SOP's naar v1.1, databank naar v1.1</t>
        </is>
      </c>
      <c r="D58" s="10" t="inlineStr">
        <is>
          <t>6</t>
        </is>
      </c>
      <c r="E58" s="10" t="inlineStr">
        <is>
          <t>feb 27</t>
        </is>
      </c>
      <c r="F58" s="10" t="inlineStr">
        <is>
          <t>D1.5</t>
        </is>
      </c>
      <c r="G58" s="10" t="inlineStr">
        <is>
          <t>PhD-A</t>
        </is>
      </c>
      <c r="H58" s="10" t="inlineStr">
        <is>
          <t>Te doen</t>
        </is>
      </c>
      <c r="I58" s="10" t="n"/>
    </row>
    <row r="59">
      <c r="A59" s="9" t="inlineStr">
        <is>
          <t>1.5f</t>
        </is>
      </c>
      <c r="B59" s="10" t="inlineStr">
        <is>
          <t>Go/No-Go-vergadering</t>
        </is>
      </c>
      <c r="C59" s="10" t="inlineStr">
        <is>
          <t>Zeven criteria, unanimiteit vereist, startdatum inclusie vastleggen</t>
        </is>
      </c>
      <c r="D59" s="10" t="inlineStr">
        <is>
          <t>6</t>
        </is>
      </c>
      <c r="E59" s="10" t="inlineStr">
        <is>
          <t>feb 27</t>
        </is>
      </c>
      <c r="F59" s="10" t="inlineStr">
        <is>
          <t>D1.5</t>
        </is>
      </c>
      <c r="G59" s="10" t="inlineStr">
        <is>
          <t>Executive Board</t>
        </is>
      </c>
      <c r="H59" s="10" t="inlineStr">
        <is>
          <t>Te doen</t>
        </is>
      </c>
      <c r="I59" s="10" t="inlineStr">
        <is>
          <t>Zie blad Go-NoGo</t>
        </is>
      </c>
    </row>
    <row r="60">
      <c r="A60" s="16" t="inlineStr">
        <is>
          <t>Taak 1.6 — Rekrutering van 144 · M6–18 · D1.6 · MS4</t>
        </is>
      </c>
      <c r="B60" s="20" t="n"/>
      <c r="C60" s="20" t="n"/>
      <c r="D60" s="20" t="n"/>
      <c r="E60" s="20" t="n"/>
      <c r="F60" s="20" t="n"/>
      <c r="G60" s="20" t="n"/>
      <c r="H60" s="20" t="n"/>
      <c r="I60" s="21" t="n"/>
    </row>
    <row r="61">
      <c r="A61" s="9" t="inlineStr">
        <is>
          <t>1.6a</t>
        </is>
      </c>
      <c r="B61" s="10" t="inlineStr">
        <is>
          <t>Screening opstarten</t>
        </is>
      </c>
      <c r="C61" s="10" t="inlineStr">
        <is>
          <t>Retrospectief in de raadplegingsagenda's en prospectieve verwijzingen</t>
        </is>
      </c>
      <c r="D61" s="10" t="inlineStr">
        <is>
          <t>6</t>
        </is>
      </c>
      <c r="E61" s="10" t="inlineStr">
        <is>
          <t>feb 27</t>
        </is>
      </c>
      <c r="F61" s="10" t="inlineStr">
        <is>
          <t>D1.6</t>
        </is>
      </c>
      <c r="G61" s="10" t="inlineStr">
        <is>
          <t>Lokale PI</t>
        </is>
      </c>
      <c r="H61" s="10" t="inlineStr">
        <is>
          <t>Te doen</t>
        </is>
      </c>
      <c r="I61" s="10" t="n"/>
    </row>
    <row r="62" ht="25.5" customHeight="1" s="14">
      <c r="A62" s="9" t="inlineStr">
        <is>
          <t>1.6b</t>
        </is>
      </c>
      <c r="B62" s="10" t="inlineStr">
        <is>
          <t>Screeningslog bijhouden</t>
        </is>
      </c>
      <c r="C62" s="10" t="inlineStr">
        <is>
          <t>Iedereen die overwogen werd, met reden bij uitsluiting; voedt het CONSORT-diagram</t>
        </is>
      </c>
      <c r="D62" s="10" t="inlineStr">
        <is>
          <t>6–18</t>
        </is>
      </c>
      <c r="E62" s="10" t="inlineStr">
        <is>
          <t>feb 27 – feb 28</t>
        </is>
      </c>
      <c r="F62" s="10" t="inlineStr">
        <is>
          <t>D1.6</t>
        </is>
      </c>
      <c r="G62" s="10" t="inlineStr">
        <is>
          <t>Lokale PI</t>
        </is>
      </c>
      <c r="H62" s="10" t="inlineStr">
        <is>
          <t>Te doen</t>
        </is>
      </c>
      <c r="I62" s="10" t="n"/>
    </row>
    <row r="63" ht="25.5" customHeight="1" s="14">
      <c r="A63" s="9" t="inlineStr">
        <is>
          <t>1.6c</t>
        </is>
      </c>
      <c r="B63" s="10" t="inlineStr">
        <is>
          <t>Maandelijkse rekruteringsopvolging</t>
        </is>
      </c>
      <c r="C63" s="10" t="inlineStr">
        <is>
          <t>Twee per centrum per maand; bij scheve verdeling gefaseerde inclusie</t>
        </is>
      </c>
      <c r="D63" s="10" t="inlineStr">
        <is>
          <t>6–18</t>
        </is>
      </c>
      <c r="E63" s="10" t="inlineStr">
        <is>
          <t>feb 27 – feb 28</t>
        </is>
      </c>
      <c r="F63" s="10" t="inlineStr">
        <is>
          <t>D1.6</t>
        </is>
      </c>
      <c r="G63" s="10" t="inlineStr">
        <is>
          <t>PhD-A</t>
        </is>
      </c>
      <c r="H63" s="10" t="inlineStr">
        <is>
          <t>Te doen</t>
        </is>
      </c>
      <c r="I63" s="10" t="n"/>
    </row>
    <row r="64" ht="25.5" customHeight="1" s="14">
      <c r="A64" s="9" t="inlineStr">
        <is>
          <t>1.6d</t>
        </is>
      </c>
      <c r="B64" s="10" t="inlineStr">
        <is>
          <t>Uitval opvolgen tegen de aanname</t>
        </is>
      </c>
      <c r="C64" s="10" t="inlineStr">
        <is>
          <t>15% is een aanname; bij overschrijding wordt de rekrutering verlengd</t>
        </is>
      </c>
      <c r="D64" s="10" t="inlineStr">
        <is>
          <t>6–18</t>
        </is>
      </c>
      <c r="E64" s="10" t="inlineStr">
        <is>
          <t>feb 27 – feb 28</t>
        </is>
      </c>
      <c r="F64" s="10" t="inlineStr">
        <is>
          <t>D1.6</t>
        </is>
      </c>
      <c r="G64" s="10" t="inlineStr">
        <is>
          <t>PhD-A</t>
        </is>
      </c>
      <c r="H64" s="10" t="inlineStr">
        <is>
          <t>Te doen</t>
        </is>
      </c>
      <c r="I64" s="10" t="n"/>
    </row>
    <row r="65">
      <c r="A65" s="16" t="inlineStr">
        <is>
          <t>Taak 1.7 — Alle beoordelingen · M7–37 · D1.7 · MS5 en MS6</t>
        </is>
      </c>
      <c r="B65" s="20" t="n"/>
      <c r="C65" s="20" t="n"/>
      <c r="D65" s="20" t="n"/>
      <c r="E65" s="20" t="n"/>
      <c r="F65" s="20" t="n"/>
      <c r="G65" s="20" t="n"/>
      <c r="H65" s="20" t="n"/>
      <c r="I65" s="21" t="n"/>
    </row>
    <row r="66">
      <c r="A66" s="9" t="inlineStr">
        <is>
          <t>1.7a</t>
        </is>
      </c>
      <c r="B66" s="10" t="inlineStr">
        <is>
          <t>Negen contacten per deelnemer</t>
        </is>
      </c>
      <c r="C66" s="10" t="inlineStr">
        <is>
          <t>Screening, baseline, visite 2, en maand 3, 6, 9, 12, 15 en 18</t>
        </is>
      </c>
      <c r="D66" s="10" t="inlineStr">
        <is>
          <t>7–37</t>
        </is>
      </c>
      <c r="E66" s="10" t="inlineStr">
        <is>
          <t>mrt 27 – sep 29</t>
        </is>
      </c>
      <c r="F66" s="10" t="inlineStr">
        <is>
          <t>D1.7</t>
        </is>
      </c>
      <c r="G66" s="10" t="inlineStr">
        <is>
          <t>Centra + studieteam</t>
        </is>
      </c>
      <c r="H66" s="10" t="inlineStr">
        <is>
          <t>Te doen</t>
        </is>
      </c>
      <c r="I66" s="10" t="n"/>
    </row>
    <row r="67">
      <c r="A67" s="9" t="inlineStr">
        <is>
          <t>1.7b</t>
        </is>
      </c>
      <c r="B67" s="10" t="inlineStr">
        <is>
          <t>Drukmeting op vier momenten</t>
        </is>
      </c>
      <c r="C67" s="10" t="inlineStr">
        <is>
          <t>Baseline, maand 6, 12 en 18; behaalde reductie per deelnemer registreren</t>
        </is>
      </c>
      <c r="D67" s="10" t="inlineStr">
        <is>
          <t>7–37</t>
        </is>
      </c>
      <c r="E67" s="10" t="inlineStr">
        <is>
          <t>mrt 27 – sep 29</t>
        </is>
      </c>
      <c r="F67" s="10" t="inlineStr">
        <is>
          <t>D1.7</t>
        </is>
      </c>
      <c r="G67" s="10" t="inlineStr">
        <is>
          <t>Klinisch team</t>
        </is>
      </c>
      <c r="H67" s="10" t="inlineStr">
        <is>
          <t>Te doen</t>
        </is>
      </c>
      <c r="I67" s="10" t="n"/>
    </row>
    <row r="68">
      <c r="A68" s="9" t="inlineStr">
        <is>
          <t>1.7c</t>
        </is>
      </c>
      <c r="B68" s="10" t="inlineStr">
        <is>
          <t>MoveMonitor twee volle weken</t>
        </is>
      </c>
      <c r="C68" s="10" t="inlineStr">
        <is>
          <t>Zeven dagen op baseline en zeven dagen op maand 6, in beide armen</t>
        </is>
      </c>
      <c r="D68" s="10" t="inlineStr">
        <is>
          <t>7–37</t>
        </is>
      </c>
      <c r="E68" s="10" t="inlineStr">
        <is>
          <t>mrt 27 – sep 29</t>
        </is>
      </c>
      <c r="F68" s="10" t="inlineStr">
        <is>
          <t>D1.7</t>
        </is>
      </c>
      <c r="G68" s="10" t="inlineStr">
        <is>
          <t>Centra</t>
        </is>
      </c>
      <c r="H68" s="10" t="inlineStr">
        <is>
          <t>Te doen</t>
        </is>
      </c>
      <c r="I68" s="10" t="n"/>
    </row>
    <row r="69" ht="25.5" customHeight="1" s="14">
      <c r="A69" s="9" t="inlineStr">
        <is>
          <t>1.7d</t>
        </is>
      </c>
      <c r="B69" s="10" t="inlineStr">
        <is>
          <t>Orthotimer driemaandelijks uitlezen</t>
        </is>
      </c>
      <c r="C69" s="10" t="inlineStr">
        <is>
          <t>Uitlezen en batterij vervangen bij elke kwartaalvisite</t>
        </is>
      </c>
      <c r="D69" s="10" t="inlineStr">
        <is>
          <t>7–37</t>
        </is>
      </c>
      <c r="E69" s="10" t="inlineStr">
        <is>
          <t>mrt 27 – sep 29</t>
        </is>
      </c>
      <c r="F69" s="10" t="inlineStr">
        <is>
          <t>D1.7</t>
        </is>
      </c>
      <c r="G69" s="10" t="inlineStr">
        <is>
          <t>Centra</t>
        </is>
      </c>
      <c r="H69" s="10" t="inlineStr">
        <is>
          <t>Te doen</t>
        </is>
      </c>
      <c r="I69" s="10" t="n"/>
    </row>
    <row r="70" ht="25.5" customHeight="1" s="14">
      <c r="A70" s="9" t="inlineStr">
        <is>
          <t>1.7e</t>
        </is>
      </c>
      <c r="B70" s="10" t="inlineStr">
        <is>
          <t>Sensordatavolledigheid bewaken</t>
        </is>
      </c>
      <c r="C70" s="10" t="inlineStr">
        <is>
          <t>Halfjaarlijks centraal nakijken; onder 70% in een centrum volgt herscholing</t>
        </is>
      </c>
      <c r="D70" s="10" t="inlineStr">
        <is>
          <t>7–37</t>
        </is>
      </c>
      <c r="E70" s="10" t="inlineStr">
        <is>
          <t>mrt 27 – sep 29</t>
        </is>
      </c>
      <c r="F70" s="10" t="inlineStr">
        <is>
          <t>D1.7</t>
        </is>
      </c>
      <c r="G70" s="10" t="inlineStr">
        <is>
          <t>PhD-A</t>
        </is>
      </c>
      <c r="H70" s="10" t="inlineStr">
        <is>
          <t>Te doen</t>
        </is>
      </c>
      <c r="I70" s="10" t="n"/>
    </row>
    <row r="71" ht="25.5" customHeight="1" s="14">
      <c r="A71" s="9" t="inlineStr">
        <is>
          <t>1.7f</t>
        </is>
      </c>
      <c r="B71" s="10" t="inlineStr">
        <is>
          <t>Halfjaarlijkse veiligheidsreview</t>
        </is>
      </c>
      <c r="C71" s="10" t="inlineStr">
        <is>
          <t>Cumulatieve ulceratie en amputatie per arm, met Aalen-Johansen en sterfte als concurrerend risico</t>
        </is>
      </c>
      <c r="D71" s="10" t="inlineStr">
        <is>
          <t>7–37</t>
        </is>
      </c>
      <c r="E71" s="10" t="inlineStr">
        <is>
          <t>mrt 27 – sep 29</t>
        </is>
      </c>
      <c r="F71" s="10" t="inlineStr">
        <is>
          <t>D1.7</t>
        </is>
      </c>
      <c r="G71" s="10" t="inlineStr">
        <is>
          <t>PhD-A + site-PI's</t>
        </is>
      </c>
      <c r="H71" s="10" t="inlineStr">
        <is>
          <t>Te doen</t>
        </is>
      </c>
      <c r="I71" s="10" t="n"/>
    </row>
    <row r="72" ht="25.5" customHeight="1" s="14">
      <c r="A72" s="9" t="inlineStr">
        <is>
          <t>1.7g</t>
        </is>
      </c>
      <c r="B72" s="10" t="inlineStr">
        <is>
          <t>Centrale monitoring</t>
        </is>
      </c>
      <c r="C72" s="10" t="inlineStr">
        <is>
          <t>Rekrutering, toestemming, afwijkingen, datavolledigheid, envelopintegriteit, veiligheidsrapportering</t>
        </is>
      </c>
      <c r="D72" s="10" t="inlineStr">
        <is>
          <t>7–37</t>
        </is>
      </c>
      <c r="E72" s="10" t="inlineStr">
        <is>
          <t>mrt 27 – sep 29</t>
        </is>
      </c>
      <c r="F72" s="10" t="inlineStr">
        <is>
          <t>D1.7</t>
        </is>
      </c>
      <c r="G72" s="10" t="inlineStr">
        <is>
          <t>Monitor</t>
        </is>
      </c>
      <c r="H72" s="10" t="inlineStr">
        <is>
          <t>Te doen</t>
        </is>
      </c>
      <c r="I72" s="10" t="n"/>
    </row>
    <row r="73">
      <c r="A73" s="16" t="inlineStr">
        <is>
          <t>Taak 1.8 — Analyse en publicatie · M43–48 · D1.8 · MS9</t>
        </is>
      </c>
      <c r="B73" s="20" t="n"/>
      <c r="C73" s="20" t="n"/>
      <c r="D73" s="20" t="n"/>
      <c r="E73" s="20" t="n"/>
      <c r="F73" s="20" t="n"/>
      <c r="G73" s="20" t="n"/>
      <c r="H73" s="20" t="n"/>
      <c r="I73" s="21" t="n"/>
    </row>
    <row r="74" ht="25.5" customHeight="1" s="14">
      <c r="A74" s="9" t="inlineStr">
        <is>
          <t>1.8a</t>
        </is>
      </c>
      <c r="B74" s="10" t="inlineStr">
        <is>
          <t>Statistisch analyseplan schrijven</t>
        </is>
      </c>
      <c r="C74" s="10" t="inlineStr">
        <is>
          <t>Afgewerkt, versiebeheerd én gepubliceerd of gedeponeerd vóór de database-lock</t>
        </is>
      </c>
      <c r="D74" s="10" t="inlineStr">
        <is>
          <t>2</t>
        </is>
      </c>
      <c r="E74" s="10" t="inlineStr">
        <is>
          <t>okt 26</t>
        </is>
      </c>
      <c r="F74" s="10" t="inlineStr">
        <is>
          <t>Bijlage 4</t>
        </is>
      </c>
      <c r="G74" s="10" t="inlineStr">
        <is>
          <t>PhD-A</t>
        </is>
      </c>
      <c r="H74" s="10" t="inlineStr">
        <is>
          <t>Te doen</t>
        </is>
      </c>
      <c r="I74" s="10" t="inlineStr">
        <is>
          <t>Staat voor oktober 2026</t>
        </is>
      </c>
    </row>
    <row r="75">
      <c r="A75" s="9" t="inlineStr">
        <is>
          <t>1.8b</t>
        </is>
      </c>
      <c r="B75" s="10" t="inlineStr">
        <is>
          <t>Database-lock</t>
        </is>
      </c>
      <c r="C75" s="10" t="inlineStr">
        <is>
          <t>Na afronding van de laatste opvolgvisite</t>
        </is>
      </c>
      <c r="D75" s="10" t="inlineStr">
        <is>
          <t>38–42</t>
        </is>
      </c>
      <c r="E75" s="10" t="inlineStr">
        <is>
          <t>okt 29 – feb 30</t>
        </is>
      </c>
      <c r="F75" s="10" t="inlineStr">
        <is>
          <t>D1.8</t>
        </is>
      </c>
      <c r="G75" s="10" t="inlineStr">
        <is>
          <t>PhD-A + Deschamps</t>
        </is>
      </c>
      <c r="H75" s="10" t="inlineStr">
        <is>
          <t>Te doen</t>
        </is>
      </c>
      <c r="I75" s="10" t="n"/>
    </row>
    <row r="76" ht="25.5" customHeight="1" s="14">
      <c r="A76" s="9" t="inlineStr">
        <is>
          <t>1.8c</t>
        </is>
      </c>
      <c r="B76" s="10" t="inlineStr">
        <is>
          <t>Primaire analyse</t>
        </is>
      </c>
      <c r="C76" s="10" t="inlineStr">
        <is>
          <t>Cox gestratificeerd naar centrum, oorzaakspecifieke hazard primair, Fine-Gray en cumulatieve incidentie ernaast</t>
        </is>
      </c>
      <c r="D76" s="10" t="inlineStr">
        <is>
          <t>43–46</t>
        </is>
      </c>
      <c r="E76" s="10" t="inlineStr">
        <is>
          <t>mrt – jun 30</t>
        </is>
      </c>
      <c r="F76" s="10" t="inlineStr">
        <is>
          <t>D1.8</t>
        </is>
      </c>
      <c r="G76" s="10" t="inlineStr">
        <is>
          <t>Coördinerend onderzoeker</t>
        </is>
      </c>
      <c r="H76" s="10" t="inlineStr">
        <is>
          <t>Te doen</t>
        </is>
      </c>
      <c r="I76" s="10" t="n"/>
    </row>
    <row r="77" ht="25.5" customHeight="1" s="14">
      <c r="A77" s="9" t="inlineStr">
        <is>
          <t>1.8d</t>
        </is>
      </c>
      <c r="B77" s="10" t="inlineStr">
        <is>
          <t>Mediatie- en secundaire analyses</t>
        </is>
      </c>
      <c r="C77" s="10" t="inlineStr">
        <is>
          <t>Beta-regressie voor therapietrouw, vier vooraf bepaalde subgroepen, mediatie als ondersteunend</t>
        </is>
      </c>
      <c r="D77" s="10" t="inlineStr">
        <is>
          <t>43–46</t>
        </is>
      </c>
      <c r="E77" s="10" t="inlineStr">
        <is>
          <t>mrt – jun 30</t>
        </is>
      </c>
      <c r="F77" s="10" t="inlineStr">
        <is>
          <t>D1.8</t>
        </is>
      </c>
      <c r="G77" s="10" t="inlineStr">
        <is>
          <t>Coördinerend onderzoeker</t>
        </is>
      </c>
      <c r="H77" s="10" t="inlineStr">
        <is>
          <t>Te doen</t>
        </is>
      </c>
      <c r="I77" s="10" t="n"/>
    </row>
    <row r="78" ht="25.5" customHeight="1" s="14">
      <c r="A78" s="9" t="inlineStr">
        <is>
          <t>1.8e</t>
        </is>
      </c>
      <c r="B78" s="10" t="inlineStr">
        <is>
          <t>Manuscript en rapportage</t>
        </is>
      </c>
      <c r="C78" s="10" t="inlineStr">
        <is>
          <t>Eén multicentrische publicatie volgens CONSORT 2025; resultaten in het register binnen twaalf maanden na de laatste visite</t>
        </is>
      </c>
      <c r="D78" s="10" t="inlineStr">
        <is>
          <t>46–48</t>
        </is>
      </c>
      <c r="E78" s="10" t="inlineStr">
        <is>
          <t>jun – aug 30</t>
        </is>
      </c>
      <c r="F78" s="10" t="inlineStr">
        <is>
          <t>D1.8</t>
        </is>
      </c>
      <c r="G78" s="10" t="inlineStr">
        <is>
          <t>PhD-A</t>
        </is>
      </c>
      <c r="H78" s="10" t="inlineStr">
        <is>
          <t>Te doen</t>
        </is>
      </c>
      <c r="I78" s="10" t="n"/>
    </row>
    <row r="79">
      <c r="A79" s="9" t="inlineStr">
        <is>
          <t>1.8f</t>
        </is>
      </c>
      <c r="B79" s="10" t="inlineStr">
        <is>
          <t>Samenvatting in gewone taal</t>
        </is>
      </c>
      <c r="C79" s="10" t="inlineStr">
        <is>
          <t>Voor alle deelnemers, ongeacht de uitkomst</t>
        </is>
      </c>
      <c r="D79" s="10" t="inlineStr">
        <is>
          <t>48</t>
        </is>
      </c>
      <c r="E79" s="10" t="inlineStr">
        <is>
          <t>aug 30</t>
        </is>
      </c>
      <c r="F79" s="10" t="inlineStr">
        <is>
          <t>D1.8</t>
        </is>
      </c>
      <c r="G79" s="10" t="inlineStr">
        <is>
          <t>PhD-A</t>
        </is>
      </c>
      <c r="H79" s="10" t="inlineStr">
        <is>
          <t>Te doen</t>
        </is>
      </c>
      <c r="I79" s="10" t="n"/>
    </row>
  </sheetData>
  <autoFilter ref="A4:I79"/>
  <mergeCells count="11">
    <mergeCell ref="A65:I65"/>
    <mergeCell ref="A73:I73"/>
    <mergeCell ref="A2:I2"/>
    <mergeCell ref="A41:I41"/>
    <mergeCell ref="A5:I5"/>
    <mergeCell ref="A60:I60"/>
    <mergeCell ref="A1:I1"/>
    <mergeCell ref="A17:I17"/>
    <mergeCell ref="A53:I53"/>
    <mergeCell ref="A35:I35"/>
    <mergeCell ref="A26:I26"/>
  </mergeCells>
  <conditionalFormatting sqref="H5:H79">
    <cfRule type="cellIs" priority="1" operator="equal" dxfId="3">
      <formula>"Klaar"</formula>
    </cfRule>
    <cfRule type="cellIs" priority="2" operator="equal" dxfId="2">
      <formula>"Bezig"</formula>
    </cfRule>
    <cfRule type="cellIs" priority="3" operator="equal" dxfId="1">
      <formula>"Geblokkeerd"</formula>
    </cfRule>
    <cfRule type="cellIs" priority="4" operator="equal" dxfId="0">
      <formula>"Vervalt"</formula>
    </cfRule>
  </conditionalFormatting>
  <dataValidations count="1">
    <dataValidation sqref="H5:H79" showDropDown="0" showInputMessage="0" showErrorMessage="0" allowBlank="1" errorTitle="Ongeldige status" error="Kies een status uit de lijst." type="list">
      <formula1>"Te doen,Bezig,Klaar,Geblokkeerd,Vervalt"</formula1>
    </dataValidation>
  </dataValidations>
  <hyperlinks>
    <hyperlink xmlns:r="http://schemas.openxmlformats.org/officeDocument/2006/relationships" ref="I18" display="https://euroqol.org/register/?utm_source=chatgpt.com" r:id="rId1"/>
  </hyperlink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G56"/>
  <sheetViews>
    <sheetView workbookViewId="0">
      <pane ySplit="4" topLeftCell="A10" activePane="bottomLeft" state="frozen"/>
      <selection pane="bottomLeft" activeCell="B14" sqref="B14"/>
    </sheetView>
  </sheetViews>
  <sheetFormatPr baseColWidth="8" defaultRowHeight="15"/>
  <cols>
    <col width="6" customWidth="1" style="14" min="1" max="1"/>
    <col width="34" customWidth="1" style="14" min="2" max="2"/>
    <col width="74" customWidth="1" style="14" min="3" max="3"/>
    <col width="26" customWidth="1" style="14" min="4" max="4"/>
    <col width="12" customWidth="1" style="14" min="5" max="5"/>
    <col width="13" customWidth="1" style="14" min="6" max="6"/>
    <col width="26" customWidth="1" style="14" min="7" max="7"/>
  </cols>
  <sheetData>
    <row r="1" ht="18.75" customHeight="1" s="14">
      <c r="A1" s="15" t="inlineStr">
        <is>
          <t>Openstaande punten</t>
        </is>
      </c>
    </row>
    <row r="2">
      <c r="A2" s="18" t="inlineStr">
        <is>
          <t>Vijfentwintig punten, geordend naar wat ze vragen. Nagelopen tegen de bestanden op 10 september 2026.</t>
        </is>
      </c>
    </row>
    <row r="3"/>
    <row r="4" ht="26.1" customHeight="1" s="14">
      <c r="A4" s="8" t="inlineStr">
        <is>
          <t>Nr</t>
        </is>
      </c>
      <c r="B4" s="8" t="inlineStr">
        <is>
          <t>Punt</t>
        </is>
      </c>
      <c r="C4" s="8" t="inlineStr">
        <is>
          <t>Wat er moet gebeuren</t>
        </is>
      </c>
      <c r="D4" s="8" t="inlineStr">
        <is>
          <t>Waar</t>
        </is>
      </c>
      <c r="E4" s="8" t="inlineStr">
        <is>
          <t>Prioriteit</t>
        </is>
      </c>
      <c r="F4" s="8" t="inlineStr">
        <is>
          <t>Status</t>
        </is>
      </c>
      <c r="G4" s="8" t="inlineStr">
        <is>
          <t>Opmerking</t>
        </is>
      </c>
    </row>
    <row r="5">
      <c r="A5" s="16" t="inlineStr">
        <is>
          <t xml:space="preserve">A — Tegenstrijdig binnen het manuscript </t>
        </is>
      </c>
      <c r="B5" s="20" t="n"/>
      <c r="C5" s="20" t="n"/>
      <c r="D5" s="20" t="n"/>
      <c r="E5" s="20" t="n"/>
      <c r="F5" s="20" t="n"/>
      <c r="G5" s="21" t="n"/>
    </row>
    <row r="6" ht="38.25" customHeight="1" s="14">
      <c r="A6" s="9" t="n">
        <v>1</v>
      </c>
      <c r="B6" s="10" t="inlineStr">
        <is>
          <t>Wie het ulcus vaststelt</t>
        </is>
      </c>
      <c r="C6" s="10" t="inlineStr">
        <is>
          <t>Kiezen tussen een onafhankelijke geblindeerde commissie en het multidisciplinaire team dat nu in de methodesectie staat, en dan zes plaatsen gelijkzetten</t>
        </is>
      </c>
      <c r="D6" s="10" t="inlineStr">
        <is>
          <t>Methods, Strengths, Limitations, tabel 3, statistiek, SPIRIT 3d en 24c</t>
        </is>
      </c>
      <c r="E6" s="10" t="inlineStr">
        <is>
          <t>Hoog</t>
        </is>
      </c>
      <c r="F6" s="10" t="inlineStr">
        <is>
          <t>Te doen</t>
        </is>
      </c>
      <c r="G6" s="10" t="inlineStr">
        <is>
          <t>Eerst doen: raakt ook de werving</t>
        </is>
      </c>
    </row>
    <row r="7" ht="25.5" customHeight="1" s="14">
      <c r="A7" s="9" t="n">
        <v>2</v>
      </c>
      <c r="B7" s="10" t="inlineStr">
        <is>
          <t>Randomisatiemethode</t>
        </is>
      </c>
      <c r="C7" s="10" t="inlineStr">
        <is>
          <t>De zin over identieke, door elkaar gestoken enveloppen in de methodesectie zetten, en 'variable permuted blocks' uit het onderschrift van figuur 1 halen</t>
        </is>
      </c>
      <c r="D7" s="10" t="inlineStr">
        <is>
          <t>Methods, onderschrift figuur 1</t>
        </is>
      </c>
      <c r="E7" s="10" t="inlineStr">
        <is>
          <t>Hoog</t>
        </is>
      </c>
      <c r="F7" s="10" t="inlineStr">
        <is>
          <t>Te doen</t>
        </is>
      </c>
      <c r="G7" s="10" t="inlineStr">
        <is>
          <t>SPIRIT-item 16a; methode beslist 10 sep</t>
        </is>
      </c>
    </row>
    <row r="8" ht="25.5" customHeight="1" s="14">
      <c r="A8" s="9" t="n">
        <v>3</v>
      </c>
      <c r="B8" s="10" t="inlineStr">
        <is>
          <t>Doelstelling en hypothesen</t>
        </is>
      </c>
      <c r="C8" s="10" t="inlineStr">
        <is>
          <t>Objectives en Hypotheses formuleren nog een dubbel doel; gelijkzetten met het ene primaire eindpunt</t>
        </is>
      </c>
      <c r="D8" s="10" t="inlineStr">
        <is>
          <t>Objectives, Hypotheses</t>
        </is>
      </c>
      <c r="E8" s="10" t="inlineStr">
        <is>
          <t>Hoog</t>
        </is>
      </c>
      <c r="F8" s="10" t="inlineStr">
        <is>
          <t>Te doen</t>
        </is>
      </c>
      <c r="G8" s="10" t="n"/>
    </row>
    <row r="9" ht="25.5" customHeight="1" s="14">
      <c r="A9" s="9" t="n">
        <v>4</v>
      </c>
      <c r="B9" s="10" t="inlineStr">
        <is>
          <t>Wat Optimal Care omvat</t>
        </is>
      </c>
      <c r="C9" s="10" t="inlineStr">
        <is>
          <t>De labels '(Optimal Care)' uit tabel 2 halen bij voorschrift en aflevering van de CMFO</t>
        </is>
      </c>
      <c r="D9" s="10" t="inlineStr">
        <is>
          <t>Tabel 2</t>
        </is>
      </c>
      <c r="E9" s="10" t="inlineStr">
        <is>
          <t>Middel</t>
        </is>
      </c>
      <c r="F9" s="10" t="inlineStr">
        <is>
          <t>Klaar</t>
        </is>
      </c>
      <c r="G9" s="10" t="inlineStr">
        <is>
          <t>Titel van tabel 4 is al rechtgezet</t>
        </is>
      </c>
    </row>
    <row r="10" ht="25.5" customHeight="1" s="14">
      <c r="A10" s="9" t="n">
        <v>5</v>
      </c>
      <c r="B10" s="10" t="inlineStr">
        <is>
          <t>Drukmeting op visite 2</t>
        </is>
      </c>
      <c r="C10" s="10" t="inlineStr">
        <is>
          <t>De drukmeting aanvinken op V2 in tabel 2, en de aparte visite 0 uit het protocol expliciet maken</t>
        </is>
      </c>
      <c r="D10" s="10" t="inlineStr">
        <is>
          <t>Tabel 2</t>
        </is>
      </c>
      <c r="E10" s="10" t="inlineStr">
        <is>
          <t>Middel</t>
        </is>
      </c>
      <c r="F10" s="10" t="inlineStr">
        <is>
          <t>Te doen</t>
        </is>
      </c>
      <c r="G10" s="10" t="n"/>
    </row>
    <row r="11" ht="38.25" customHeight="1" s="14">
      <c r="A11" s="9" t="n">
        <v>6</v>
      </c>
      <c r="B11" s="10" t="inlineStr">
        <is>
          <t>Wie het ulcus vaststelt</t>
        </is>
      </c>
      <c r="C11" s="10" t="inlineStr">
        <is>
          <t>Kiezen tussen een onafhankelijke geblindeerde commissie en het multidisciplinaire team dat nu in de methodesectie staat, en dan zes plaatsen gelijkzetten</t>
        </is>
      </c>
      <c r="D11" s="10" t="inlineStr">
        <is>
          <t>Methods, Strengths, Limitations, tabel 3, statistiek, SPIRIT 3d en 24c</t>
        </is>
      </c>
      <c r="E11" s="10" t="inlineStr">
        <is>
          <t>Hoog</t>
        </is>
      </c>
      <c r="F11" s="10" t="inlineStr">
        <is>
          <t>Te doen</t>
        </is>
      </c>
      <c r="G11" s="10" t="inlineStr">
        <is>
          <t>Eerst doen: raakt ook de werving</t>
        </is>
      </c>
    </row>
    <row r="12">
      <c r="A12" s="16" t="inlineStr">
        <is>
          <t>B — Redactie en pakket · kan grotendeels vandaag</t>
        </is>
      </c>
      <c r="B12" s="20" t="n"/>
      <c r="C12" s="20" t="n"/>
      <c r="D12" s="20" t="n"/>
      <c r="E12" s="20" t="n"/>
      <c r="F12" s="20" t="n"/>
      <c r="G12" s="21" t="n"/>
    </row>
    <row r="13" ht="25.5" customHeight="1" s="14">
      <c r="A13" s="9" t="n">
        <v>7</v>
      </c>
      <c r="B13" s="10" t="inlineStr">
        <is>
          <t>Figuur 3 en 5 zonder titel</t>
        </is>
      </c>
      <c r="C13" s="10" t="inlineStr">
        <is>
          <t>Titelregel en ondertitel toevoegen in de SVG, zoals figuur 1, 2 en 4 die hebben</t>
        </is>
      </c>
      <c r="D13" s="10" t="inlineStr">
        <is>
          <t>Figure3_logic_model.svg, Figure5_CPTS.svg</t>
        </is>
      </c>
      <c r="E13" s="10" t="inlineStr">
        <is>
          <t>Middel</t>
        </is>
      </c>
      <c r="F13" s="10" t="inlineStr">
        <is>
          <t>Klaar</t>
        </is>
      </c>
      <c r="G13" s="10" t="n"/>
    </row>
    <row r="14" ht="25.5" customHeight="1" s="14">
      <c r="A14" s="26" t="n">
        <v>8</v>
      </c>
      <c r="B14" s="23" t="inlineStr">
        <is>
          <t>Plaatsingsmarkeringen en verwijzingen</t>
        </is>
      </c>
      <c r="C14" s="23" t="inlineStr">
        <is>
          <t>Markering toevoegen voor figuur 1, 4 en 5; de dubbele markering voor tabel 2 weghalen; bijlage 4 en figuur 5 aanhalen in de tekst</t>
        </is>
      </c>
      <c r="D14" s="23" t="inlineStr">
        <is>
          <t>Lopende tekst</t>
        </is>
      </c>
      <c r="E14" s="23" t="inlineStr">
        <is>
          <t>Middel</t>
        </is>
      </c>
      <c r="F14" s="23" t="inlineStr">
        <is>
          <t>Te doen</t>
        </is>
      </c>
      <c r="G14" s="23" t="inlineStr"/>
    </row>
    <row r="15">
      <c r="A15" s="9" t="n">
        <v>9</v>
      </c>
      <c r="B15" s="10" t="inlineStr">
        <is>
          <t>Toekenningsbrief FWO</t>
        </is>
      </c>
      <c r="C15" s="10" t="inlineStr">
        <is>
          <t>Opvragen en toevoegen; bijlage 6 toont nu alleen de ingediende aanvraag</t>
        </is>
      </c>
      <c r="D15" s="10" t="inlineStr">
        <is>
          <t>Bijlage 6</t>
        </is>
      </c>
      <c r="E15" s="10" t="inlineStr">
        <is>
          <t>Middel</t>
        </is>
      </c>
      <c r="F15" s="10" t="inlineStr">
        <is>
          <t>Te doen</t>
        </is>
      </c>
      <c r="G15" s="10" t="n"/>
    </row>
    <row r="16" ht="25.5" customHeight="1" s="14">
      <c r="A16" s="9" t="n">
        <v>10</v>
      </c>
      <c r="B16" s="10" t="inlineStr">
        <is>
          <t>eCRF 01</t>
        </is>
      </c>
      <c r="C16" s="10" t="inlineStr">
        <is>
          <t>Drie criteria aanvullen (PEDIS graad 3, immunosuppressie, stabiele vaatstatus) en 'niet de eerste metatarsaalkop' weghalen</t>
        </is>
      </c>
      <c r="D16" s="10" t="inlineStr">
        <is>
          <t>eCRF 01</t>
        </is>
      </c>
      <c r="E16" s="10" t="inlineStr">
        <is>
          <t>Hoog</t>
        </is>
      </c>
      <c r="F16" s="10" t="inlineStr">
        <is>
          <t>Te doen</t>
        </is>
      </c>
      <c r="G16" s="10" t="n"/>
    </row>
    <row r="17">
      <c r="A17" s="9" t="n">
        <v>11</v>
      </c>
      <c r="B17" s="10" t="inlineStr">
        <is>
          <t>Scoreformulier slijtageschaal</t>
        </is>
      </c>
      <c r="C17" s="10" t="inlineStr">
        <is>
          <t>Ontbreekt, terwijl de meting op visite 2 en op maand 6, 12 en 18 gepland staat</t>
        </is>
      </c>
      <c r="D17" s="10" t="inlineStr">
        <is>
          <t>eCRF-set</t>
        </is>
      </c>
      <c r="E17" s="10" t="inlineStr">
        <is>
          <t>Middel</t>
        </is>
      </c>
      <c r="F17" s="10" t="inlineStr">
        <is>
          <t>Te doen</t>
        </is>
      </c>
      <c r="G17" s="10" t="n"/>
    </row>
    <row r="18" ht="25.5" customHeight="1" s="14">
      <c r="A18" s="9" t="n">
        <v>12</v>
      </c>
      <c r="B18" s="10" t="inlineStr">
        <is>
          <t>Werkinstructie pedar</t>
        </is>
      </c>
      <c r="C18" s="10" t="inlineStr">
        <is>
          <t>Ontbreekt volledig; voor MoveMonitor (19b) en Orthotimer (25b) bestaat er wel een</t>
        </is>
      </c>
      <c r="D18" s="10" t="inlineStr">
        <is>
          <t>eCRF-set</t>
        </is>
      </c>
      <c r="E18" s="10" t="inlineStr">
        <is>
          <t>Hoog</t>
        </is>
      </c>
      <c r="F18" s="10" t="inlineStr">
        <is>
          <t>Te doen</t>
        </is>
      </c>
      <c r="G18" s="10" t="inlineStr">
        <is>
          <t>Toestel waarop de klinische beslissing rust</t>
        </is>
      </c>
    </row>
    <row r="19">
      <c r="A19" s="9" t="n">
        <v>13</v>
      </c>
      <c r="B19" s="20" t="n"/>
      <c r="C19" s="20" t="n"/>
      <c r="D19" s="20" t="n"/>
      <c r="E19" s="20" t="n"/>
      <c r="F19" s="20" t="n"/>
      <c r="G19" s="21" t="n"/>
    </row>
    <row r="20">
      <c r="A20" s="9" t="n">
        <v>14</v>
      </c>
      <c r="B20" s="10" t="inlineStr">
        <is>
          <t>Texas Wound Classification</t>
        </is>
      </c>
      <c r="C20" s="10" t="inlineStr">
        <is>
          <t>Zit niet meer in de eCRF-set en staat niet in het manuscript</t>
        </is>
      </c>
      <c r="D20" s="10" t="inlineStr">
        <is>
          <t>eCRF-set</t>
        </is>
      </c>
      <c r="E20" s="10" t="inlineStr">
        <is>
          <t>Laag</t>
        </is>
      </c>
      <c r="F20" s="10" t="inlineStr">
        <is>
          <t>Vervalt</t>
        </is>
      </c>
      <c r="G20" s="10" t="inlineStr">
        <is>
          <t>Opgelost</t>
        </is>
      </c>
    </row>
    <row r="21">
      <c r="A21" s="9" t="n">
        <v>15</v>
      </c>
      <c r="B21" s="10" t="inlineStr">
        <is>
          <t>Formulierenroute</t>
        </is>
      </c>
      <c r="C21" s="10" t="inlineStr">
        <is>
          <t>'Academic staff' preciseren: wie voert in, en welke rollen krijgt de databank</t>
        </is>
      </c>
      <c r="D21" s="10" t="inlineStr">
        <is>
          <t>Data collection</t>
        </is>
      </c>
      <c r="E21" s="10" t="inlineStr">
        <is>
          <t>Middel</t>
        </is>
      </c>
      <c r="F21" s="10" t="inlineStr">
        <is>
          <t>Te doen</t>
        </is>
      </c>
      <c r="G21" s="10" t="n"/>
    </row>
    <row r="22" ht="25.5" customHeight="1" s="14">
      <c r="A22" s="9" t="n">
        <v>16</v>
      </c>
      <c r="B22" s="10" t="inlineStr">
        <is>
          <t>Zeven blanco velden</t>
        </is>
      </c>
      <c r="C22" s="10" t="inlineStr">
        <is>
          <t>Registratienummer en -datum, startdatum rekrutering, herschrijfmarkering ethiek, belangenconflicten, auteursbijdragen, dankwoord</t>
        </is>
      </c>
      <c r="D22" s="10" t="inlineStr">
        <is>
          <t>Abstract, Trial status, Declarations</t>
        </is>
      </c>
      <c r="E22" s="10" t="inlineStr">
        <is>
          <t>Hoog</t>
        </is>
      </c>
      <c r="F22" s="10" t="inlineStr">
        <is>
          <t>Te doen</t>
        </is>
      </c>
      <c r="G22" s="10" t="inlineStr">
        <is>
          <t>Zie blad Manuscriptpakket</t>
        </is>
      </c>
    </row>
    <row r="23">
      <c r="A23" s="16" t="inlineStr">
        <is>
          <t>C — Projectdocumenten · bijwerken bij de eerste voortgangsrapportage</t>
        </is>
      </c>
      <c r="B23" s="20" t="n"/>
      <c r="C23" s="20" t="n"/>
      <c r="D23" s="20" t="n"/>
      <c r="E23" s="20" t="n"/>
      <c r="F23" s="20" t="n"/>
      <c r="G23" s="21" t="n"/>
    </row>
    <row r="24" ht="25.5" customHeight="1" s="14">
      <c r="A24" s="9" t="n">
        <v>17</v>
      </c>
      <c r="B24" s="10" t="inlineStr">
        <is>
          <t>Go-criterium 6 en 7</t>
        </is>
      </c>
      <c r="C24" s="10" t="inlineStr">
        <is>
          <t>De ICC-drempel verplaatsen naar het klinische toestel, en de methodevergelijking uit de startvoorwaarden halen</t>
        </is>
      </c>
      <c r="D24" s="10" t="inlineStr">
        <is>
          <t>Draaiboek fase 06</t>
        </is>
      </c>
      <c r="E24" s="10" t="inlineStr">
        <is>
          <t>Middel</t>
        </is>
      </c>
      <c r="F24" s="10" t="inlineStr">
        <is>
          <t>Te doen</t>
        </is>
      </c>
      <c r="G24" s="10" t="n"/>
    </row>
    <row r="25">
      <c r="A25" s="9" t="n">
        <v>18</v>
      </c>
      <c r="B25" s="10" t="inlineStr">
        <is>
          <t>MS4, MS5 en MS6</t>
        </is>
      </c>
      <c r="C25" s="10" t="inlineStr">
        <is>
          <t>Staan op M24 en M42; protocol en manuscript komen op M18 en M37 uit</t>
        </is>
      </c>
      <c r="D25" s="10" t="inlineStr">
        <is>
          <t>FWO-planning</t>
        </is>
      </c>
      <c r="E25" s="10" t="inlineStr">
        <is>
          <t>Laag</t>
        </is>
      </c>
      <c r="F25" s="10" t="inlineStr">
        <is>
          <t>Te doen</t>
        </is>
      </c>
      <c r="G25" s="10" t="inlineStr">
        <is>
          <t>Speling, geen probleem</t>
        </is>
      </c>
    </row>
    <row r="26"/>
    <row r="27">
      <c r="A27" s="25" t="inlineStr">
        <is>
          <t>Nieuw op 11 september — zelf inpassen waar je ze wilt</t>
        </is>
      </c>
    </row>
    <row r="28">
      <c r="A28" s="26" t="inlineStr"/>
      <c r="B28" s="23" t="inlineStr">
        <is>
          <t>Blootsvoets of in-shoe — beslist</t>
        </is>
      </c>
      <c r="C28" s="23" t="inlineStr">
        <is>
          <t>Alles in-shoe, twee condities: zónder en mét de CMFO. De 25%-reductie is het verschil tussen die twee, in dezelfde sessie gemeten. Tabel 4 van het manuscript had het goed</t>
        </is>
      </c>
      <c r="D28" s="23" t="inlineStr">
        <is>
          <t>Manuscript, protocol</t>
        </is>
      </c>
      <c r="E28" s="23" t="inlineStr">
        <is>
          <t>—</t>
        </is>
      </c>
      <c r="F28" s="23" t="inlineStr">
        <is>
          <t>Klaar</t>
        </is>
      </c>
      <c r="G28" s="23" t="inlineStr">
        <is>
          <t>Beslissing PI 11 sep</t>
        </is>
      </c>
    </row>
    <row r="29">
      <c r="A29" s="26" t="inlineStr"/>
      <c r="B29" s="23" t="inlineStr">
        <is>
          <t>eCRF 09 bijwerken</t>
        </is>
      </c>
      <c r="C29" s="23" t="inlineStr">
        <is>
          <t>Beschrijft nu een blootsvoetse baselinemeting met sensoren op de voet; moet in-shoe zónder de CMFO worden</t>
        </is>
      </c>
      <c r="D29" s="23" t="inlineStr">
        <is>
          <t>eCRF 09</t>
        </is>
      </c>
      <c r="E29" s="23" t="inlineStr">
        <is>
          <t>Hoog</t>
        </is>
      </c>
      <c r="F29" s="23" t="inlineStr">
        <is>
          <t>Te doen</t>
        </is>
      </c>
      <c r="G29" s="23" t="inlineStr">
        <is>
          <t>Volgt uit de beslissing</t>
        </is>
      </c>
    </row>
    <row r="30">
      <c r="A30" s="26" t="inlineStr"/>
      <c r="B30" s="23" t="inlineStr">
        <is>
          <t>eCRF 24 bijwerken</t>
        </is>
      </c>
      <c r="C30" s="23" t="inlineStr">
        <is>
          <t>Gedaan op 14 september: de blootsvoetse conditie is uit het formulier, deel A1 (buitenschoeisel) is verwijderd, Tabel 3A heet weer Tabel 3. Wat nog moet: de regiotabellen van zes naar acht regio's per voet.</t>
        </is>
      </c>
      <c r="D30" s="23" t="inlineStr">
        <is>
          <t>eCRF 24</t>
        </is>
      </c>
      <c r="E30" s="23" t="inlineStr">
        <is>
          <t>Hoog</t>
        </is>
      </c>
      <c r="F30" s="23" t="inlineStr">
        <is>
          <t>Bezig</t>
        </is>
      </c>
      <c r="G30" s="23" t="inlineStr">
        <is>
          <t>Deels gedaan 14 sep</t>
        </is>
      </c>
    </row>
    <row r="31">
      <c r="A31" s="26" t="inlineStr"/>
      <c r="B31" s="23" t="inlineStr">
        <is>
          <t>SOP-2 en opleidingsmodule 3 bijwerken</t>
        </is>
      </c>
      <c r="C31" s="23" t="inlineStr">
        <is>
          <t>Meetprotocol en training moeten de in-shoe condities beschrijven in plaats van een blootsvoetse meting</t>
        </is>
      </c>
      <c r="D31" s="23" t="inlineStr">
        <is>
          <t>SOP-2, module 3</t>
        </is>
      </c>
      <c r="E31" s="23" t="inlineStr">
        <is>
          <t>Hoog</t>
        </is>
      </c>
      <c r="F31" s="23" t="inlineStr">
        <is>
          <t>Te doen</t>
        </is>
      </c>
      <c r="G31" s="23" t="inlineStr">
        <is>
          <t>Volgt uit de beslissing</t>
        </is>
      </c>
    </row>
    <row r="32">
      <c r="A32" s="26" t="inlineStr"/>
      <c r="B32" s="23" t="inlineStr">
        <is>
          <t>Referentie bij nieuw schoeisel beslissen</t>
        </is>
      </c>
      <c r="C32" s="23" t="inlineStr">
        <is>
          <t>Beantwoord: de meting zónder zool hoort bij elk meetmoment, dus er is geen oude referentie die kan verouderen</t>
        </is>
      </c>
      <c r="D32" s="23" t="inlineStr">
        <is>
          <t>eCRF 24, SOP-2</t>
        </is>
      </c>
      <c r="E32" s="23" t="inlineStr">
        <is>
          <t>Middel</t>
        </is>
      </c>
      <c r="F32" s="23" t="inlineStr">
        <is>
          <t>Vervalt</t>
        </is>
      </c>
      <c r="G32" s="23" t="inlineStr">
        <is>
          <t>Opgelost door de beslissing</t>
        </is>
      </c>
    </row>
    <row r="33">
      <c r="A33" s="26" t="inlineStr"/>
      <c r="B33" s="23" t="inlineStr">
        <is>
          <t>Palet op 200 kPa zetten en verdelen</t>
        </is>
      </c>
      <c r="C33" s="23" t="inlineStr">
        <is>
          <t>Hoogste niveau op 200 kPa, het niveau van 220 eruit. Bewaren met 'Save custom set' en op alle zes de laptops laden, anders zijn de schermafbeeldingen onderling niet vergelijkbaar</t>
        </is>
      </c>
      <c r="D33" s="23" t="inlineStr">
        <is>
          <t>novel studio, zes centra</t>
        </is>
      </c>
      <c r="E33" s="23" t="inlineStr">
        <is>
          <t>Hoog</t>
        </is>
      </c>
      <c r="F33" s="23" t="inlineStr">
        <is>
          <t>Te doen</t>
        </is>
      </c>
      <c r="G33" s="23" t="inlineStr">
        <is>
          <t>Vervangt de segmentatie tot die er is</t>
        </is>
      </c>
    </row>
    <row r="34">
      <c r="A34" s="26" t="inlineStr"/>
      <c r="B34" s="23" t="inlineStr">
        <is>
          <t>eCRF-Excel: veld voor de schermafbeelding</t>
        </is>
      </c>
      <c r="C34" s="23" t="inlineStr">
        <is>
          <t>Per deelnemer, meetmoment en conditie een plek om het MPP-beeld in te plakken, plus velden voor de drie hoogste waarden met hun plaats</t>
        </is>
      </c>
      <c r="D34" s="23" t="inlineStr">
        <is>
          <t>eCRF 09, eCRF 24</t>
        </is>
      </c>
      <c r="E34" s="23" t="inlineStr">
        <is>
          <t>Hoog</t>
        </is>
      </c>
      <c r="F34" s="23" t="inlineStr">
        <is>
          <t>Te doen</t>
        </is>
      </c>
      <c r="G34" s="23" t="inlineStr">
        <is>
          <t>Volgt uit de beslissing van 11 sep</t>
        </is>
      </c>
    </row>
    <row r="35">
      <c r="A35" s="26" t="inlineStr"/>
      <c r="B35" s="23" t="inlineStr">
        <is>
          <t>Set Range toetsen in de droogloop</t>
        </is>
      </c>
      <c r="C35" s="23" t="inlineStr">
        <is>
          <t>Beantwoord: Set Range past alleen de grafiek aan — begin, eind en verschuiven — en rekent niets opnieuw. De getallen blijven over de hele opname. Frames weglaten kan alleen achteraf, met file master in de novel database.</t>
        </is>
      </c>
      <c r="D35" s="23" t="inlineStr">
        <is>
          <t>droogloop november</t>
        </is>
      </c>
      <c r="E35" s="23" t="inlineStr">
        <is>
          <t>—</t>
        </is>
      </c>
      <c r="F35" s="23" t="inlineStr">
        <is>
          <t>Klaar</t>
        </is>
      </c>
      <c r="G35" s="23" t="inlineStr">
        <is>
          <t>Beslissing PI 14 sep</t>
        </is>
      </c>
    </row>
    <row r="36">
      <c r="A36" s="26" t="inlineStr"/>
      <c r="B36" s="23" t="inlineStr">
        <is>
          <t>MVP-weergave kiezen voor de secundaire analyses</t>
        </is>
      </c>
      <c r="C36" s="23" t="inlineStr">
        <is>
          <t>MVP O telt alle frames mee, MVP LF alleen geladen frames, MVP LC ook zonder nulsensoren. Voor de norm maakt het niet uit: die gaat op MPP</t>
        </is>
      </c>
      <c r="D36" s="23" t="inlineStr">
        <is>
          <t>SAP, eCRF 24</t>
        </is>
      </c>
      <c r="E36" s="23" t="inlineStr">
        <is>
          <t>Middel</t>
        </is>
      </c>
      <c r="F36" s="23" t="inlineStr">
        <is>
          <t>Te doen</t>
        </is>
      </c>
      <c r="G36" s="23" t="inlineStr">
        <is>
          <t>Openstaand punt 28</t>
        </is>
      </c>
    </row>
    <row r="37" s="14">
      <c r="A37" s="26" t="inlineStr"/>
      <c r="B37" s="23" t="inlineStr">
        <is>
          <t>Schoenmaat 46 en groter</t>
        </is>
      </c>
      <c r="C37" s="23" t="inlineStr">
        <is>
          <t>Wordt gemeten met YW (44/45); de zool vangt het maatverschil op. Geen ZW bijbestellen, schoenmaat is geen uitsluitingsgrond</t>
        </is>
      </c>
      <c r="D37" s="23" t="inlineStr">
        <is>
          <t>SOP 09b</t>
        </is>
      </c>
      <c r="E37" s="23" t="inlineStr">
        <is>
          <t>—</t>
        </is>
      </c>
      <c r="F37" s="23" t="inlineStr">
        <is>
          <t>Klaar</t>
        </is>
      </c>
      <c r="G37" s="23" t="inlineStr">
        <is>
          <t>Beslist 11 sep</t>
        </is>
      </c>
    </row>
    <row r="38" s="14">
      <c r="A38" s="26" t="n"/>
      <c r="B38" s="23" t="inlineStr">
        <is>
          <t>Novel database: route en beheer</t>
        </is>
      </c>
      <c r="C38" s="23" t="inlineStr">
        <is>
          <t>De database bestaat sinds 14 september onder de naam Sint_Jan_Paradise_Project, met een testpersoon erin. Wat nog niet vastligt: of de klinieken rechtstreeks vanuit de database meten dan wel in novel studio, of er een centrale database komt of een per centrum, en hoe de vijf andere centra erin terechtkomen.</t>
        </is>
      </c>
      <c r="D38" s="23" t="inlineStr">
        <is>
          <t>novel database</t>
        </is>
      </c>
      <c r="E38" s="23" t="inlineStr">
        <is>
          <t>Hoog</t>
        </is>
      </c>
      <c r="F38" s="23" t="inlineStr">
        <is>
          <t>Te doen</t>
        </is>
      </c>
      <c r="G38" s="23" t="inlineStr">
        <is>
          <t>Aangemaakt 14 sep; route nog open</t>
        </is>
      </c>
    </row>
    <row r="39" s="14">
      <c r="A39" s="26" t="n"/>
      <c r="B39" s="23" t="inlineStr">
        <is>
          <t>Masker met de acht regio's tekenen</t>
        </is>
      </c>
      <c r="C39" s="23" t="inlineStr">
        <is>
          <t>Met 'creation of any and percent masks' de acht protocolregio's als percent mask op een referentiezool zetten. Daarna rekent 'multimask evaluation' per meting en 'groupmask evaluation' over alle metingen de piekdruk per regio uit. Dit vervangt het aflezen op het palet als analysemethode.</t>
        </is>
      </c>
      <c r="D39" s="23" t="inlineStr">
        <is>
          <t>novel database</t>
        </is>
      </c>
      <c r="E39" s="23" t="inlineStr">
        <is>
          <t>Hoog</t>
        </is>
      </c>
      <c r="F39" s="23" t="inlineStr">
        <is>
          <t>Te doen</t>
        </is>
      </c>
      <c r="G39" s="23" t="inlineStr">
        <is>
          <t>Lost punt 26 op</t>
        </is>
      </c>
    </row>
    <row r="40" s="14">
      <c r="A40" s="26" t="n"/>
      <c r="B40" s="23" t="inlineStr">
        <is>
          <t>Identificatie in het veld Persons vastleggen</t>
        </is>
      </c>
      <c r="C40" s="23" t="inlineStr">
        <is>
          <t>De database vraagt uit zichzelf naam en geboortedatum. Vastleggen dat er uitsluitend de deelnemerscode in gaat, en dat in de SOP en het datamanagementplan zetten.</t>
        </is>
      </c>
      <c r="D40" s="23" t="inlineStr">
        <is>
          <t>novel database, DMP</t>
        </is>
      </c>
      <c r="E40" s="23" t="inlineStr">
        <is>
          <t>Hoog</t>
        </is>
      </c>
      <c r="F40" s="23" t="inlineStr">
        <is>
          <t>Te doen</t>
        </is>
      </c>
      <c r="G40" s="23" t="inlineStr">
        <is>
          <t>GDPR</t>
        </is>
      </c>
    </row>
    <row r="41" s="14">
      <c r="A41" s="26" t="n"/>
      <c r="B41" s="23" t="inlineStr">
        <is>
          <t>Back-up, bewaartermijn en opslaggrens</t>
        </is>
      </c>
      <c r="C41" s="23" t="inlineStr">
        <is>
          <t>SQL Server Express is begrensd op 10 GB, 1 GB geheugen en 1 processor. Nagaan of 144 deelnemers x drie meetmomenten x twee condities daarbinnen past, en de back-up en de bewaartermijn vastleggen.</t>
        </is>
      </c>
      <c r="D41" s="23" t="inlineStr">
        <is>
          <t>novel database, DMP</t>
        </is>
      </c>
      <c r="E41" s="23" t="inlineStr">
        <is>
          <t>Middel</t>
        </is>
      </c>
      <c r="F41" s="23" t="inlineStr">
        <is>
          <t>Te doen</t>
        </is>
      </c>
      <c r="G41" s="23" t="inlineStr">
        <is>
          <t>Handleiding db light p. 5</t>
        </is>
      </c>
    </row>
    <row r="42" s="14">
      <c r="A42" s="26" t="n"/>
      <c r="B42" s="23" t="inlineStr">
        <is>
          <t>Route van de meetbestanden uit de zes centra</t>
        </is>
      </c>
      <c r="C42" s="23" t="inlineStr">
        <is>
          <t>Novel studio bewaart lokaal in C:\Users\Public\Documents\Novel Studio\plidar_data. Vastleggen hoe die bestanden bij het studieteam raken en onder welke naam ze in de database gaan.</t>
        </is>
      </c>
      <c r="D42" s="23" t="inlineStr">
        <is>
          <t>SOP 09b, zes centra</t>
        </is>
      </c>
      <c r="E42" s="23" t="inlineStr">
        <is>
          <t>Hoog</t>
        </is>
      </c>
      <c r="F42" s="23" t="inlineStr">
        <is>
          <t>Te doen</t>
        </is>
      </c>
      <c r="G42" s="23" t="inlineStr">
        <is>
          <t>Hangt aan de formulierenroute</t>
        </is>
      </c>
    </row>
    <row r="43" s="14">
      <c r="A43" s="26" t="n"/>
      <c r="B43" s="23" t="inlineStr">
        <is>
          <t>Frames uitsluiten — beantwoord</t>
        </is>
      </c>
      <c r="C43" s="23" t="inlineStr">
        <is>
          <t>Data uitsluiten kan: 'file master' verwijdert de frames tussen twee markers. Een deelnemer die halverwege blijft staan kan dus uit de opname geknipt worden. Voor de norm blijft het overbodig, want MPP verandert niet door een pauze.</t>
        </is>
      </c>
      <c r="D43" s="23" t="inlineStr">
        <is>
          <t>novel database</t>
        </is>
      </c>
      <c r="E43" s="23" t="inlineStr">
        <is>
          <t>—</t>
        </is>
      </c>
      <c r="F43" s="23" t="inlineStr">
        <is>
          <t>Klaar</t>
        </is>
      </c>
      <c r="G43" s="23" t="inlineStr">
        <is>
          <t>Uitgezocht 11 sep</t>
        </is>
      </c>
    </row>
    <row r="44" s="14">
      <c r="A44" s="26" t="n"/>
      <c r="B44" s="23" t="inlineStr">
        <is>
          <t>eCRF 24: koptekst van deel A2 zegt 'Appendix 23'</t>
        </is>
      </c>
      <c r="C44" s="23" t="inlineStr">
        <is>
          <t>Vervalt: de dubbele titelregel stond op de pagina van deel A1, en dat deel is verwijderd.</t>
        </is>
      </c>
      <c r="D44" s="23" t="inlineStr">
        <is>
          <t>eCRF 24</t>
        </is>
      </c>
      <c r="E44" s="23" t="inlineStr">
        <is>
          <t>—</t>
        </is>
      </c>
      <c r="F44" s="23" t="inlineStr">
        <is>
          <t>Klaar</t>
        </is>
      </c>
      <c r="G44" s="23" t="inlineStr">
        <is>
          <t>Beslissing PI 14 sep</t>
        </is>
      </c>
    </row>
    <row r="45" s="14">
      <c r="A45" s="26" t="n"/>
      <c r="B45" s="23" t="inlineStr">
        <is>
          <t>Doelregio's op maand 6, 12 en 18</t>
        </is>
      </c>
      <c r="C45" s="23" t="inlineStr">
        <is>
          <t>Beantwoord: dezelfde drie regio's, over te nemen van het vorige formulier. Ze worden niet opnieuw gekozen.</t>
        </is>
      </c>
      <c r="D45" s="23" t="inlineStr">
        <is>
          <t>eCRF 24, SAP</t>
        </is>
      </c>
      <c r="E45" s="23" t="inlineStr">
        <is>
          <t>—</t>
        </is>
      </c>
      <c r="F45" s="23" t="inlineStr">
        <is>
          <t>Klaar</t>
        </is>
      </c>
      <c r="G45" s="23" t="inlineStr">
        <is>
          <t>Beslissing PI 14 sep</t>
        </is>
      </c>
    </row>
    <row r="46" s="14">
      <c r="A46" s="26" t="n"/>
      <c r="B46" s="23" t="inlineStr">
        <is>
          <t>Deelnemer met maar één paar schoeisel</t>
        </is>
      </c>
      <c r="C46" s="23" t="inlineStr">
        <is>
          <t>Beantwoord: er wordt enkel in het binnenschoeisel gemeten. Deel A1 (buitenschoeisel) is uit eCRF 24 verwijderd; wat overblijft heet A. BINNENSCHOEISEL. Twee opnames per meetmoment, niet vier.</t>
        </is>
      </c>
      <c r="D46" s="23" t="inlineStr">
        <is>
          <t>eCRF 24, SOP 09b</t>
        </is>
      </c>
      <c r="E46" s="23" t="inlineStr">
        <is>
          <t>—</t>
        </is>
      </c>
      <c r="F46" s="23" t="inlineStr">
        <is>
          <t>Klaar</t>
        </is>
      </c>
      <c r="G46" s="23" t="inlineStr">
        <is>
          <t>Beslissing PI 14 sep</t>
        </is>
      </c>
    </row>
    <row r="47" s="14">
      <c r="A47" s="26" t="n"/>
      <c r="B47" s="23" t="inlineStr">
        <is>
          <t>Date of birth in de database</t>
        </is>
      </c>
      <c r="C47" s="23" t="inlineStr">
        <is>
          <t>Beslist: 01/01/1900 voor elke deelnemer, samen met een X in beide naamvelden. Het afgeleide veld Age komt daardoor op 126 — dat maakt meteen zichtbaar dat het een plaatshouder is. De werkelijke leeftijd staat in de eCRF.</t>
        </is>
      </c>
      <c r="D47" s="23" t="inlineStr">
        <is>
          <t>novel database, DMP</t>
        </is>
      </c>
      <c r="E47" s="23" t="inlineStr">
        <is>
          <t>—</t>
        </is>
      </c>
      <c r="F47" s="23" t="inlineStr">
        <is>
          <t>Klaar</t>
        </is>
      </c>
      <c r="G47" s="23" t="inlineStr">
        <is>
          <t>Beslissing PI 14 sep</t>
        </is>
      </c>
    </row>
    <row r="48" s="14">
      <c r="A48" s="26" t="n"/>
      <c r="B48" s="23" t="inlineStr">
        <is>
          <t>Map Manuals buiten de repo gehouden</t>
        </is>
      </c>
      <c r="C48" s="23" t="inlineStr">
        <is>
          <t>KU Leuven License Cloud.pdf bevat de registratiecode voor cloud.orthotimer.com. De map staat nu in .gitignore zodat ze niet naar Netlify gepubliceerd wordt.</t>
        </is>
      </c>
      <c r="D48" s="23" t="inlineStr">
        <is>
          <t>.gitignore</t>
        </is>
      </c>
      <c r="E48" s="23" t="inlineStr">
        <is>
          <t>—</t>
        </is>
      </c>
      <c r="F48" s="23" t="inlineStr">
        <is>
          <t>Klaar</t>
        </is>
      </c>
      <c r="G48" s="23" t="inlineStr">
        <is>
          <t>14 sep</t>
        </is>
      </c>
    </row>
    <row r="49" s="14">
      <c r="A49" s="26" t="n"/>
      <c r="B49" s="23" t="inlineStr">
        <is>
          <t>Verkeerde configuratie gezien op een echt scherm</t>
        </is>
      </c>
      <c r="C49" s="23" t="inlineStr">
        <is>
          <t>Op de schermafbeelding van 14 september staat toestel plidar-G009L met een configuratie van plidar-G026: de linkerzender met de rechterconfiguratie. De software waarschuwt niet. Staat nu als figuur in de SOP.</t>
        </is>
      </c>
      <c r="D49" s="23" t="inlineStr">
        <is>
          <t>SOP 09b</t>
        </is>
      </c>
      <c r="E49" s="23" t="inlineStr">
        <is>
          <t>—</t>
        </is>
      </c>
      <c r="F49" s="23" t="inlineStr">
        <is>
          <t>Klaar</t>
        </is>
      </c>
      <c r="G49" s="23" t="inlineStr">
        <is>
          <t>Verwerkt in hoofdstuk 6</t>
        </is>
      </c>
    </row>
    <row r="50" s="14">
      <c r="A50" s="26" t="n"/>
      <c r="B50" s="23" t="inlineStr">
        <is>
          <t>Batterij minstens 30%</t>
        </is>
      </c>
      <c r="C50" s="23" t="inlineStr">
        <is>
          <t>Beslist: onder de 30% niet aan een meting beginnen. Staat nu in hoofdstuk 5 van de SOP en in de foutentabel.</t>
        </is>
      </c>
      <c r="D50" s="23" t="inlineStr">
        <is>
          <t>SOP 09b</t>
        </is>
      </c>
      <c r="E50" s="23" t="inlineStr">
        <is>
          <t>—</t>
        </is>
      </c>
      <c r="F50" s="23" t="inlineStr">
        <is>
          <t>Klaar</t>
        </is>
      </c>
      <c r="G50" s="23" t="inlineStr">
        <is>
          <t>Beslissing PI 14 sep</t>
        </is>
      </c>
    </row>
    <row r="51" s="14">
      <c r="A51" s="26" t="n"/>
      <c r="B51" s="23" t="inlineStr">
        <is>
          <t>Route van de meetgegevens</t>
        </is>
      </c>
      <c r="C51" s="23" t="inlineStr">
        <is>
          <t>Beslist: schermafbeelding in de Pressure Monitoring Tool plakken, opslaan, mailen naar janou.debusyer@kuleuven.be, en het bestand lokaal laten staan zodat het opgehaald kan worden als het mailen mislukt.</t>
        </is>
      </c>
      <c r="D51" s="23" t="inlineStr">
        <is>
          <t>SOP 09b hfst. 12</t>
        </is>
      </c>
      <c r="E51" s="23" t="inlineStr">
        <is>
          <t>—</t>
        </is>
      </c>
      <c r="F51" s="23" t="inlineStr">
        <is>
          <t>Klaar</t>
        </is>
      </c>
      <c r="G51" s="23" t="inlineStr">
        <is>
          <t>Beslissing PI 14 sep</t>
        </is>
      </c>
    </row>
    <row r="52" s="14">
      <c r="A52" s="26" t="n"/>
      <c r="B52" s="23" t="inlineStr">
        <is>
          <t>E-mailadres bevestigd</t>
        </is>
      </c>
      <c r="C52" s="23" t="inlineStr">
        <is>
          <t>janou.debuyser@kuleuven.be — bevestigd op 14 september en aangepast in de SOP.</t>
        </is>
      </c>
      <c r="D52" s="23" t="inlineStr">
        <is>
          <t>SOP 09b hfst. 12</t>
        </is>
      </c>
      <c r="E52" s="23" t="inlineStr">
        <is>
          <t>—</t>
        </is>
      </c>
      <c r="F52" s="23" t="inlineStr">
        <is>
          <t>Klaar</t>
        </is>
      </c>
      <c r="G52" s="23" t="inlineStr">
        <is>
          <t>Bevestigd 14 sep</t>
        </is>
      </c>
    </row>
    <row r="53" s="14">
      <c r="A53" s="26" t="n"/>
      <c r="B53" s="23" t="inlineStr">
        <is>
          <t>Pressure Monitoring Tool bijwerken</t>
        </is>
      </c>
      <c r="C53" s="23" t="inlineStr">
        <is>
          <t>De tool kent zes regio's per voet in plaats van acht: de middenvoet is niet gesplitst in mediaal en lateraal en tenen 2-5 ontbreken. Dat raakt het samenvattingsblok én de twee blokken RAW DATA EXPORT, en dus ook het masker: dat moet zestien velden opleveren in plaats van twaalf. De kolomtitel 'Barefoot' is enkel een verkeerd label — bedoeld is de meting zonder aangepaste zool.</t>
        </is>
      </c>
      <c r="D53" s="23" t="inlineStr">
        <is>
          <t>Pressure monitoring tool_patient.xlsx</t>
        </is>
      </c>
      <c r="E53" s="23" t="inlineStr">
        <is>
          <t>Hoog</t>
        </is>
      </c>
      <c r="F53" s="23" t="inlineStr">
        <is>
          <t>Te doen</t>
        </is>
      </c>
      <c r="G53" s="23" t="inlineStr">
        <is>
          <t>Nagekeken 14 sep; 8 regio's bevestigd</t>
        </is>
      </c>
    </row>
    <row r="54" s="14">
      <c r="A54" s="26" t="n"/>
      <c r="B54" s="23" t="inlineStr">
        <is>
          <t>Twee regels die alleen in de tool staan</t>
        </is>
      </c>
      <c r="C54" s="23" t="inlineStr">
        <is>
          <t>De doelregio's zijn per voet de twee plaatsen in de voorvoet of middenvoet met de hoogste piekdruk boven 200 kPa — de hiel telt niet mee. En de zool wordt ook aangepast als de piekdruk op een doelregio met 5% of meer gestegen is tegenover de vorige keer. Nagaan of die twee ook in het protocol en de SAP horen.</t>
        </is>
      </c>
      <c r="D54" s="23" t="inlineStr">
        <is>
          <t>protocol, SAP, SOP 09b</t>
        </is>
      </c>
      <c r="E54" s="23" t="inlineStr">
        <is>
          <t>Middel</t>
        </is>
      </c>
      <c r="F54" s="23" t="inlineStr">
        <is>
          <t>Te doen</t>
        </is>
      </c>
      <c r="G54" s="23" t="inlineStr">
        <is>
          <t>Vastgesteld 14 sep</t>
        </is>
      </c>
    </row>
    <row r="55" s="14">
      <c r="A55" s="26" t="n"/>
      <c r="B55" s="23" t="inlineStr">
        <is>
          <t>Tabblad hernoemd naar Visit</t>
        </is>
      </c>
      <c r="C55" s="23" t="inlineStr">
        <is>
          <t>Het blad heette Outdoor, wat niet klopt nu er alleen in het binnenschoeisel gemeten wordt. Hernoemd op zip-niveau zodat de twee grafieken, het afdrukbereik en de documenteigenschappen mee wijzigden en niets verloren ging.</t>
        </is>
      </c>
      <c r="D55" s="23" t="inlineStr">
        <is>
          <t>Pressure monitoring tool_patient.xlsx</t>
        </is>
      </c>
      <c r="E55" s="23" t="inlineStr">
        <is>
          <t>—</t>
        </is>
      </c>
      <c r="F55" s="23" t="inlineStr">
        <is>
          <t>Klaar</t>
        </is>
      </c>
      <c r="G55" s="23" t="inlineStr">
        <is>
          <t>14 sep</t>
        </is>
      </c>
    </row>
    <row r="56" s="14">
      <c r="A56" s="26" t="n"/>
      <c r="B56" s="23" t="inlineStr">
        <is>
          <t>Titel van eCRF 24 zegt '(visit 2)'</t>
        </is>
      </c>
      <c r="C56" s="23" t="inlineStr">
        <is>
          <t>Het formulier wordt ook op maand 6, 12 en 18 gebruikt, maar de titel noemt alleen visite 2. Nagaan of de titel ruimer moet of dat er per meetmoment een kopie komt.</t>
        </is>
      </c>
      <c r="D56" s="23" t="inlineStr">
        <is>
          <t>eCRF 24</t>
        </is>
      </c>
      <c r="E56" s="23" t="inlineStr">
        <is>
          <t>Laag</t>
        </is>
      </c>
      <c r="F56" s="23" t="inlineStr">
        <is>
          <t>Te doen</t>
        </is>
      </c>
      <c r="G56" s="23" t="inlineStr">
        <is>
          <t>Vastgesteld 14 sep</t>
        </is>
      </c>
    </row>
  </sheetData>
  <autoFilter ref="A4:G29"/>
  <mergeCells count="5">
    <mergeCell ref="A1:G1"/>
    <mergeCell ref="A12:G12"/>
    <mergeCell ref="A2:G2"/>
    <mergeCell ref="A5:G5"/>
    <mergeCell ref="A23:G23"/>
  </mergeCells>
  <conditionalFormatting sqref="F5:F29">
    <cfRule type="cellIs" priority="1" operator="equal" dxfId="18">
      <formula>"Klaar"</formula>
    </cfRule>
    <cfRule type="cellIs" priority="2" operator="equal" dxfId="19">
      <formula>"Bezig"</formula>
    </cfRule>
    <cfRule type="cellIs" priority="3" operator="equal" dxfId="20">
      <formula>"Geblokkeerd"</formula>
    </cfRule>
    <cfRule type="cellIs" priority="4" operator="equal" dxfId="21">
      <formula>"Vervalt"</formula>
    </cfRule>
  </conditionalFormatting>
  <dataValidations count="1">
    <dataValidation sqref="F5:F29 F38:F43 F44:F46 F47:F49 F50:F53 F54 F55:F56" showDropDown="0" showInputMessage="0" showErrorMessage="0" allowBlank="1" type="list">
      <formula1>"Te doen,Bezig,Klaar,Geblokkeerd,Vervalt"</formula1>
    </dataValidation>
  </dataValidations>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K25"/>
  <sheetViews>
    <sheetView workbookViewId="0">
      <pane ySplit="4" topLeftCell="A5" activePane="bottomLeft" state="frozen"/>
      <selection pane="bottomLeft" activeCell="K28" sqref="K28"/>
    </sheetView>
  </sheetViews>
  <sheetFormatPr baseColWidth="8" defaultRowHeight="15"/>
  <cols>
    <col width="6" customWidth="1" style="14" min="1" max="1"/>
    <col width="52" customWidth="1" style="14" min="2" max="2"/>
    <col width="46" customWidth="1" style="14" min="3" max="3"/>
    <col width="34" customWidth="1" style="14" min="4" max="4"/>
    <col width="13" customWidth="1" style="14" min="5" max="5"/>
    <col width="30" customWidth="1" style="14" min="6" max="6"/>
    <col width="13" customWidth="1" style="14" min="7" max="10"/>
    <col width="24" customWidth="1" style="14" min="11" max="11"/>
  </cols>
  <sheetData>
    <row r="1" ht="18.75" customHeight="1" s="14">
      <c r="A1" s="15" t="inlineStr">
        <is>
          <t>Go/No-Go — maand 6</t>
        </is>
      </c>
    </row>
    <row r="2">
      <c r="A2" s="18" t="inlineStr">
        <is>
          <t>Zeven criteria voor de Executive Board, plus de negen site-readinesscriteria per centrum.</t>
        </is>
      </c>
    </row>
    <row r="4" ht="26.1" customHeight="1" s="14">
      <c r="A4" s="8" t="inlineStr">
        <is>
          <t>Nr</t>
        </is>
      </c>
      <c r="B4" s="8" t="inlineStr">
        <is>
          <t>Criterium</t>
        </is>
      </c>
      <c r="C4" s="8" t="inlineStr">
        <is>
          <t>Go-drempel</t>
        </is>
      </c>
      <c r="D4" s="8" t="inlineStr">
        <is>
          <t>Bewijsstuk</t>
        </is>
      </c>
      <c r="E4" s="8" t="inlineStr">
        <is>
          <t>Status</t>
        </is>
      </c>
      <c r="F4" s="8" t="inlineStr">
        <is>
          <t>Opmerking</t>
        </is>
      </c>
    </row>
    <row r="5">
      <c r="A5" s="16" t="inlineStr">
        <is>
          <t>Zeven Go-criteria · Executive Board, maand 6, unanimiteit vereist</t>
        </is>
      </c>
      <c r="B5" s="20" t="n"/>
      <c r="C5" s="20" t="n"/>
      <c r="D5" s="20" t="n"/>
      <c r="E5" s="20" t="n"/>
      <c r="F5" s="21" t="n"/>
    </row>
    <row r="6" ht="25.5" customHeight="1" s="14">
      <c r="A6" s="9" t="n">
        <v>1</v>
      </c>
      <c r="B6" s="10" t="inlineStr">
        <is>
          <t>Ethische goedkeuringen</t>
        </is>
      </c>
      <c r="C6" s="10" t="inlineStr">
        <is>
          <t>Zeven op zeven — centraal, zes lokaal, plus de bevoegde autoriteit</t>
        </is>
      </c>
      <c r="D6" s="10" t="inlineStr">
        <is>
          <t>Goedkeuringsbrieven en registratienummers</t>
        </is>
      </c>
      <c r="E6" s="10" t="inlineStr">
        <is>
          <t>Bezig</t>
        </is>
      </c>
      <c r="F6" s="10" t="n"/>
    </row>
    <row r="7">
      <c r="A7" s="9" t="n">
        <v>2</v>
      </c>
      <c r="B7" s="10" t="inlineStr">
        <is>
          <t>Site readiness</t>
        </is>
      </c>
      <c r="C7" s="10" t="inlineStr">
        <is>
          <t>Zes op zes centra voldoen aan alle negen criteria</t>
        </is>
      </c>
      <c r="D7" s="10" t="inlineStr">
        <is>
          <t>Ingevulde checklists</t>
        </is>
      </c>
      <c r="E7" s="10" t="inlineStr">
        <is>
          <t>Te doen</t>
        </is>
      </c>
      <c r="F7" s="10" t="inlineStr">
        <is>
          <t>Zie hieronder</t>
        </is>
      </c>
    </row>
    <row r="8">
      <c r="A8" s="9" t="n">
        <v>3</v>
      </c>
      <c r="B8" s="10" t="inlineStr">
        <is>
          <t>Databank operationeel</t>
        </is>
      </c>
      <c r="C8" s="10" t="inlineStr">
        <is>
          <t>Nul kritische bugs na acceptatietest, versie-locked</t>
        </is>
      </c>
      <c r="D8" s="10" t="inlineStr">
        <is>
          <t>Testrapport en versielog</t>
        </is>
      </c>
      <c r="E8" s="10" t="inlineStr">
        <is>
          <t>Te doen</t>
        </is>
      </c>
      <c r="F8" s="10" t="n"/>
    </row>
    <row r="9" ht="25.5" customHeight="1" s="14">
      <c r="A9" s="9" t="n">
        <v>4</v>
      </c>
      <c r="B9" s="10" t="inlineStr">
        <is>
          <t>Certificering zorgverleners</t>
        </is>
      </c>
      <c r="C9" s="10" t="inlineStr">
        <is>
          <t>Minstens twee per centrum, dus twaalf of meer</t>
        </is>
      </c>
      <c r="D9" s="10" t="inlineStr">
        <is>
          <t>Certificatenregister in de Trial Master File</t>
        </is>
      </c>
      <c r="E9" s="10" t="inlineStr">
        <is>
          <t>Te doen</t>
        </is>
      </c>
      <c r="F9" s="10" t="n"/>
    </row>
    <row r="10">
      <c r="A10" s="9" t="n">
        <v>5</v>
      </c>
      <c r="B10" s="10" t="inlineStr">
        <is>
          <t>Pilootrapport</t>
        </is>
      </c>
      <c r="C10" s="10" t="inlineStr">
        <is>
          <t>Nul onopgeloste kritische knelpunten</t>
        </is>
      </c>
      <c r="D10" s="10" t="inlineStr">
        <is>
          <t>Pilootrapport v1.0</t>
        </is>
      </c>
      <c r="E10" s="10" t="inlineStr">
        <is>
          <t>Te doen</t>
        </is>
      </c>
      <c r="F10" s="10" t="n"/>
    </row>
    <row r="11">
      <c r="A11" s="9" t="n">
        <v>6</v>
      </c>
      <c r="B11" s="10" t="inlineStr">
        <is>
          <t>Meetbetrouwbaarheid</t>
        </is>
      </c>
      <c r="C11" s="10" t="inlineStr">
        <is>
          <t>ICC ≥ 0,80 in alle centra, of gepoold</t>
        </is>
      </c>
      <c r="D11" s="10" t="inlineStr">
        <is>
          <t>ICC-rapport</t>
        </is>
      </c>
      <c r="E11" s="10" t="inlineStr">
        <is>
          <t>Te doen</t>
        </is>
      </c>
      <c r="F11" s="10" t="inlineStr">
        <is>
          <t>Op welk toestel? — punt 22</t>
        </is>
      </c>
    </row>
    <row r="12" ht="25.5" customHeight="1" s="14">
      <c r="A12" s="9" t="n">
        <v>7</v>
      </c>
      <c r="B12" s="10" t="inlineStr">
        <is>
          <t>Methodevergelijking</t>
        </is>
      </c>
      <c r="C12" s="10" t="inlineStr">
        <is>
          <t>Overeenstemmingsgrenzen gekwantificeerd</t>
        </is>
      </c>
      <c r="D12" s="10" t="inlineStr">
        <is>
          <t>Bland-Altman-rapport</t>
        </is>
      </c>
      <c r="E12" s="10" t="inlineStr">
        <is>
          <t>Te doen</t>
        </is>
      </c>
      <c r="F12" s="10" t="inlineStr">
        <is>
          <t>Geen startvoorwaarde meer — punt 22</t>
        </is>
      </c>
    </row>
    <row r="14">
      <c r="A14" s="11" t="inlineStr">
        <is>
          <t>Site readiness — 10criteria, per centrum af te vinken</t>
        </is>
      </c>
    </row>
    <row r="15" ht="30" customHeight="1" s="14">
      <c r="A15" s="8" t="inlineStr">
        <is>
          <t>Nr</t>
        </is>
      </c>
      <c r="B15" s="8" t="inlineStr">
        <is>
          <t>Site readiness — negen criteria per centrum</t>
        </is>
      </c>
      <c r="C15" s="8" t="inlineStr">
        <is>
          <t>Categorie</t>
        </is>
      </c>
      <c r="D15" s="8" t="inlineStr">
        <is>
          <t>UZ Leuven</t>
        </is>
      </c>
      <c r="E15" s="8" t="inlineStr">
        <is>
          <t>UZ Antwerpen</t>
        </is>
      </c>
      <c r="F15" s="8" t="inlineStr">
        <is>
          <t>UZ Gent</t>
        </is>
      </c>
      <c r="G15" s="8" t="inlineStr">
        <is>
          <t>AZORG</t>
        </is>
      </c>
      <c r="H15" s="8" t="inlineStr">
        <is>
          <t>AZ Sint-Jan</t>
        </is>
      </c>
      <c r="I15" s="8" t="inlineStr">
        <is>
          <t>AZ Groeninge</t>
        </is>
      </c>
      <c r="J15" s="8" t="inlineStr">
        <is>
          <t>Status</t>
        </is>
      </c>
      <c r="K15" s="8" t="inlineStr">
        <is>
          <t>Opmerking</t>
        </is>
      </c>
    </row>
    <row r="16">
      <c r="A16" s="9" t="n">
        <v>1</v>
      </c>
      <c r="B16" s="10" t="inlineStr">
        <is>
          <t>Drukmeetsysteem operationeel, met kalibratietestrun</t>
        </is>
      </c>
      <c r="C16" s="9" t="inlineStr">
        <is>
          <t>Technologie</t>
        </is>
      </c>
      <c r="D16" s="9" t="n"/>
      <c r="E16" s="9" t="n"/>
      <c r="F16" s="9" t="n"/>
      <c r="G16" s="9" t="n"/>
      <c r="H16" s="9" t="n"/>
      <c r="I16" s="9" t="n"/>
      <c r="J16" s="9" t="inlineStr">
        <is>
          <t>Te doen</t>
        </is>
      </c>
      <c r="K16" s="9" t="n"/>
    </row>
    <row r="17">
      <c r="A17" s="9" t="n">
        <v>2</v>
      </c>
      <c r="B17" s="10" t="inlineStr">
        <is>
          <t>Minstens twee gecertificeerde zorgverleners</t>
        </is>
      </c>
      <c r="C17" s="9" t="inlineStr">
        <is>
          <t>Opleiding</t>
        </is>
      </c>
      <c r="D17" s="9" t="n"/>
      <c r="E17" s="9" t="n"/>
      <c r="F17" s="9" t="n"/>
      <c r="G17" s="9" t="n"/>
      <c r="H17" s="9" t="n"/>
      <c r="I17" s="9" t="n"/>
      <c r="J17" s="9" t="inlineStr">
        <is>
          <t>Te doen</t>
        </is>
      </c>
      <c r="K17" s="9" t="n"/>
    </row>
    <row r="18">
      <c r="A18" s="9" t="n">
        <v>3</v>
      </c>
      <c r="B18" s="10" t="inlineStr">
        <is>
          <t>Databankaccount actief, testlogin geslaagd</t>
        </is>
      </c>
      <c r="C18" s="9" t="inlineStr">
        <is>
          <t>Data</t>
        </is>
      </c>
      <c r="D18" s="9" t="n"/>
      <c r="E18" s="9" t="n"/>
      <c r="F18" s="9" t="n"/>
      <c r="G18" s="9" t="n"/>
      <c r="H18" s="9" t="n"/>
      <c r="I18" s="9" t="n"/>
      <c r="J18" s="9" t="inlineStr">
        <is>
          <t>Te doen</t>
        </is>
      </c>
      <c r="K18" s="9" t="n"/>
    </row>
    <row r="19">
      <c r="A19" s="9" t="n">
        <v>4</v>
      </c>
      <c r="B19" s="10" t="inlineStr">
        <is>
          <t>Lokale ethische goedkeuring ontvangen</t>
        </is>
      </c>
      <c r="C19" s="9" t="inlineStr">
        <is>
          <t>Ethiek</t>
        </is>
      </c>
      <c r="D19" s="9" t="n"/>
      <c r="E19" s="9" t="n"/>
      <c r="F19" s="9" t="n"/>
      <c r="G19" s="9" t="n"/>
      <c r="H19" s="9" t="n"/>
      <c r="I19" s="9" t="n"/>
      <c r="J19" s="9" t="inlineStr">
        <is>
          <t>Te doen</t>
        </is>
      </c>
      <c r="K19" s="9" t="n"/>
    </row>
    <row r="20">
      <c r="A20" s="9" t="n">
        <v>5</v>
      </c>
      <c r="B20" s="10" t="inlineStr">
        <is>
          <t>Orthotimer-sensoren, lezer en software aanwezig</t>
        </is>
      </c>
      <c r="C20" s="9" t="inlineStr">
        <is>
          <t>Technologie</t>
        </is>
      </c>
      <c r="D20" s="9" t="n"/>
      <c r="E20" s="9" t="n"/>
      <c r="F20" s="9" t="n"/>
      <c r="G20" s="9" t="n"/>
      <c r="H20" s="9" t="n"/>
      <c r="I20" s="9" t="n"/>
      <c r="J20" s="9" t="inlineStr">
        <is>
          <t>Te doen</t>
        </is>
      </c>
      <c r="K20" s="9" t="n"/>
    </row>
    <row r="21">
      <c r="A21" s="9" t="n">
        <v>6</v>
      </c>
      <c r="B21" s="10" t="inlineStr">
        <is>
          <t>MoveMonitor aanwezig, uitgifte- en retourprotocol bekend</t>
        </is>
      </c>
      <c r="C21" s="9" t="inlineStr">
        <is>
          <t>Technologie</t>
        </is>
      </c>
      <c r="D21" s="9" t="n"/>
      <c r="E21" s="9" t="n"/>
      <c r="F21" s="9" t="n"/>
      <c r="G21" s="9" t="n"/>
      <c r="H21" s="9" t="n"/>
      <c r="I21" s="9" t="n"/>
      <c r="J21" s="9" t="inlineStr">
        <is>
          <t>Te doen</t>
        </is>
      </c>
      <c r="K21" s="9" t="n"/>
    </row>
    <row r="22">
      <c r="A22" s="9" t="n">
        <v>7</v>
      </c>
      <c r="B22" s="10" t="inlineStr">
        <is>
          <t>Minstens tien sets van het assessment booklet</t>
        </is>
      </c>
      <c r="C22" s="9" t="inlineStr">
        <is>
          <t>Klinisch</t>
        </is>
      </c>
      <c r="D22" s="9" t="n"/>
      <c r="E22" s="9" t="n"/>
      <c r="F22" s="9" t="n"/>
      <c r="G22" s="9" t="n"/>
      <c r="H22" s="9" t="n"/>
      <c r="I22" s="9" t="n"/>
      <c r="J22" s="9" t="inlineStr">
        <is>
          <t>Te doen</t>
        </is>
      </c>
      <c r="K22" s="9" t="n"/>
    </row>
    <row r="23">
      <c r="A23" s="9" t="n">
        <v>8</v>
      </c>
      <c r="B23" s="10" t="inlineStr">
        <is>
          <t>Loopruimte van minstens tien meter</t>
        </is>
      </c>
      <c r="C23" s="9" t="inlineStr">
        <is>
          <t>Infrastructuur</t>
        </is>
      </c>
      <c r="D23" s="9" t="n"/>
      <c r="E23" s="9" t="n"/>
      <c r="F23" s="9" t="n"/>
      <c r="G23" s="9" t="n"/>
      <c r="H23" s="9" t="n"/>
      <c r="I23" s="9" t="n"/>
      <c r="J23" s="9" t="inlineStr">
        <is>
          <t>Te doen</t>
        </is>
      </c>
      <c r="K23" s="9" t="n"/>
    </row>
    <row r="24">
      <c r="A24" s="9" t="n">
        <v>9</v>
      </c>
      <c r="B24" s="10" t="inlineStr">
        <is>
          <t>Back-upzorgverlener met naam en contact</t>
        </is>
      </c>
      <c r="C24" s="9" t="inlineStr">
        <is>
          <t>Organisatie</t>
        </is>
      </c>
      <c r="D24" s="9" t="n"/>
      <c r="E24" s="9" t="n"/>
      <c r="F24" s="9" t="n"/>
      <c r="G24" s="9" t="n"/>
      <c r="H24" s="9" t="n"/>
      <c r="I24" s="9" t="n"/>
      <c r="J24" s="9" t="inlineStr">
        <is>
          <t>Te doen</t>
        </is>
      </c>
      <c r="K24" s="9" t="n"/>
    </row>
    <row r="25">
      <c r="A25" s="12" t="n">
        <v>10</v>
      </c>
      <c r="B25" s="10" t="inlineStr">
        <is>
          <t>Novel Pedar, database en software aanwezig</t>
        </is>
      </c>
      <c r="C25" s="9" t="inlineStr">
        <is>
          <t>Technologie</t>
        </is>
      </c>
      <c r="J25" s="9" t="inlineStr">
        <is>
          <t>Te doen</t>
        </is>
      </c>
    </row>
  </sheetData>
  <autoFilter ref="A4:F12"/>
  <mergeCells count="3">
    <mergeCell ref="A2:F2"/>
    <mergeCell ref="A1:F1"/>
    <mergeCell ref="A5:F5"/>
  </mergeCells>
  <conditionalFormatting sqref="D16:I24">
    <cfRule type="cellIs" priority="5" operator="equal" dxfId="3">
      <formula>"ja"</formula>
    </cfRule>
    <cfRule type="cellIs" priority="6" operator="equal" dxfId="8">
      <formula>"nee"</formula>
    </cfRule>
  </conditionalFormatting>
  <conditionalFormatting sqref="E5:E12">
    <cfRule type="cellIs" priority="1" operator="equal" dxfId="3">
      <formula>"Klaar"</formula>
    </cfRule>
    <cfRule type="cellIs" priority="2" operator="equal" dxfId="2">
      <formula>"Bezig"</formula>
    </cfRule>
    <cfRule type="cellIs" priority="3" operator="equal" dxfId="1">
      <formula>"Geblokkeerd"</formula>
    </cfRule>
    <cfRule type="cellIs" priority="4" operator="equal" dxfId="0">
      <formula>"Vervalt"</formula>
    </cfRule>
  </conditionalFormatting>
  <dataValidations count="3">
    <dataValidation sqref="E5:E12" showDropDown="0" showInputMessage="0" showErrorMessage="0" allowBlank="1" errorTitle="Ongeldige status" error="Kies een status uit de lijst." type="list">
      <formula1>"Te doen,Bezig,Klaar,Geblokkeerd,Vervalt"</formula1>
    </dataValidation>
    <dataValidation sqref="D16:I24" showDropDown="0" showInputMessage="0" showErrorMessage="0" allowBlank="1" type="list">
      <formula1>"ja,nee,n.v.t."</formula1>
    </dataValidation>
    <dataValidation sqref="J16:J25" showDropDown="0" showInputMessage="0" showErrorMessage="0" allowBlank="1" type="list">
      <formula1>"Te doen,Bezig,Klaar,Geblokkeerd,Vervalt"</formula1>
    </dataValidation>
  </dataValidations>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G11"/>
  <sheetViews>
    <sheetView tabSelected="1" workbookViewId="0">
      <pane ySplit="4" topLeftCell="A5" activePane="bottomLeft" state="frozen"/>
      <selection pane="bottomLeft" activeCell="J21" sqref="J21"/>
    </sheetView>
  </sheetViews>
  <sheetFormatPr baseColWidth="8" defaultRowHeight="15"/>
  <cols>
    <col width="7" customWidth="1" style="14" min="1" max="1"/>
    <col width="46" customWidth="1" style="14" min="2" max="2"/>
    <col width="12" customWidth="1" style="14" min="3" max="3"/>
    <col width="20" customWidth="1" style="14" min="4" max="5"/>
    <col width="13" customWidth="1" style="14" min="6" max="6"/>
    <col width="30" customWidth="1" style="14" min="7" max="7"/>
  </cols>
  <sheetData>
    <row r="1" ht="18.75" customHeight="1" s="14">
      <c r="A1" s="15" t="inlineStr">
        <is>
          <t>Mijlpalen</t>
        </is>
      </c>
    </row>
    <row r="2">
      <c r="A2" s="18" t="inlineStr">
        <is>
          <t>De zeven mijlpalen die aan werkpakket 1 hangen. MS7 en MS8 horen bij WP2 en WP3.</t>
        </is>
      </c>
    </row>
    <row r="4" ht="26.1" customHeight="1" s="14">
      <c r="A4" s="8" t="inlineStr">
        <is>
          <t>MS</t>
        </is>
      </c>
      <c r="B4" s="8" t="inlineStr">
        <is>
          <t>Wat</t>
        </is>
      </c>
      <c r="C4" s="8" t="inlineStr">
        <is>
          <t>Uit taak</t>
        </is>
      </c>
      <c r="D4" s="8" t="inlineStr">
        <is>
          <t>FWO-planning</t>
        </is>
      </c>
      <c r="E4" s="8" t="inlineStr">
        <is>
          <t>Volgens protocol</t>
        </is>
      </c>
      <c r="F4" s="8" t="inlineStr">
        <is>
          <t>Status</t>
        </is>
      </c>
      <c r="G4" s="8" t="inlineStr">
        <is>
          <t>Opmerking</t>
        </is>
      </c>
    </row>
    <row r="5">
      <c r="A5" s="9" t="inlineStr">
        <is>
          <t>MS1</t>
        </is>
      </c>
      <c r="B5" s="10" t="inlineStr">
        <is>
          <t>Boekjes en protocollen gemaakt</t>
        </is>
      </c>
      <c r="C5" s="10" t="inlineStr">
        <is>
          <t>1.2, 1.3</t>
        </is>
      </c>
      <c r="D5" s="10" t="inlineStr">
        <is>
          <t>M6 · feb 27</t>
        </is>
      </c>
      <c r="E5" s="10" t="inlineStr">
        <is>
          <t>idem</t>
        </is>
      </c>
      <c r="F5" s="10" t="inlineStr">
        <is>
          <t>Te doen</t>
        </is>
      </c>
      <c r="G5" s="10" t="n"/>
    </row>
    <row r="6">
      <c r="A6" s="9" t="inlineStr">
        <is>
          <t>MS2</t>
        </is>
      </c>
      <c r="B6" s="10" t="inlineStr">
        <is>
          <t>Gunstige ethische beoordeling verkregen</t>
        </is>
      </c>
      <c r="C6" s="10" t="inlineStr">
        <is>
          <t>1.1</t>
        </is>
      </c>
      <c r="D6" s="10" t="inlineStr">
        <is>
          <t>M6 · feb 27</t>
        </is>
      </c>
      <c r="E6" s="10" t="inlineStr">
        <is>
          <t>idem</t>
        </is>
      </c>
      <c r="F6" s="10" t="inlineStr">
        <is>
          <t>Te doen</t>
        </is>
      </c>
      <c r="G6" s="10" t="n"/>
    </row>
    <row r="7">
      <c r="A7" s="9" t="inlineStr">
        <is>
          <t>MS3</t>
        </is>
      </c>
      <c r="B7" s="10" t="inlineStr">
        <is>
          <t>Piloot en dataverzameling geslaagd</t>
        </is>
      </c>
      <c r="C7" s="10" t="inlineStr">
        <is>
          <t>1.5</t>
        </is>
      </c>
      <c r="D7" s="10" t="inlineStr">
        <is>
          <t>M6 · feb 27</t>
        </is>
      </c>
      <c r="E7" s="10" t="inlineStr">
        <is>
          <t>idem</t>
        </is>
      </c>
      <c r="F7" s="10" t="inlineStr">
        <is>
          <t>Te doen</t>
        </is>
      </c>
      <c r="G7" s="10" t="n"/>
    </row>
    <row r="8">
      <c r="A8" s="9" t="inlineStr">
        <is>
          <t>MS4</t>
        </is>
      </c>
      <c r="B8" s="10" t="inlineStr">
        <is>
          <t>144 gerekruteerd en gerandomiseerd</t>
        </is>
      </c>
      <c r="C8" s="10" t="inlineStr">
        <is>
          <t>1.6</t>
        </is>
      </c>
      <c r="D8" s="10" t="inlineStr">
        <is>
          <t>M24 · aug 28</t>
        </is>
      </c>
      <c r="E8" s="10" t="inlineStr">
        <is>
          <t>M18 · feb 28</t>
        </is>
      </c>
      <c r="F8" s="10" t="inlineStr">
        <is>
          <t>Te doen</t>
        </is>
      </c>
      <c r="G8" s="10" t="n"/>
    </row>
    <row r="9">
      <c r="A9" s="9" t="inlineStr">
        <is>
          <t>MS5</t>
        </is>
      </c>
      <c r="B9" s="10" t="inlineStr">
        <is>
          <t>Optimal en Usual Care geleverd</t>
        </is>
      </c>
      <c r="C9" s="10" t="inlineStr">
        <is>
          <t>1.7</t>
        </is>
      </c>
      <c r="D9" s="10" t="inlineStr">
        <is>
          <t>M42 · feb 30</t>
        </is>
      </c>
      <c r="E9" s="10" t="inlineStr">
        <is>
          <t>M37 · sep 29</t>
        </is>
      </c>
      <c r="F9" s="10" t="inlineStr">
        <is>
          <t>Te doen</t>
        </is>
      </c>
      <c r="G9" s="10" t="n"/>
    </row>
    <row r="10">
      <c r="A10" s="9" t="inlineStr">
        <is>
          <t>MS6</t>
        </is>
      </c>
      <c r="B10" s="10" t="inlineStr">
        <is>
          <t>Opvolgbeoordelingen afgerond</t>
        </is>
      </c>
      <c r="C10" s="10" t="inlineStr">
        <is>
          <t>1.7</t>
        </is>
      </c>
      <c r="D10" s="10" t="inlineStr">
        <is>
          <t>M42 · feb 30</t>
        </is>
      </c>
      <c r="E10" s="10" t="inlineStr">
        <is>
          <t>M37 · sep 29</t>
        </is>
      </c>
      <c r="F10" s="10" t="inlineStr">
        <is>
          <t>Te doen</t>
        </is>
      </c>
      <c r="G10" s="10" t="n"/>
    </row>
    <row r="11">
      <c r="A11" s="9" t="inlineStr">
        <is>
          <t>MS9</t>
        </is>
      </c>
      <c r="B11" s="10" t="inlineStr">
        <is>
          <t>Rapport klinische effectiviteit</t>
        </is>
      </c>
      <c r="C11" s="10" t="inlineStr">
        <is>
          <t>1.8</t>
        </is>
      </c>
      <c r="D11" s="10" t="inlineStr">
        <is>
          <t>M48 · aug 30</t>
        </is>
      </c>
      <c r="E11" s="10" t="inlineStr">
        <is>
          <t>idem</t>
        </is>
      </c>
      <c r="F11" s="10" t="inlineStr">
        <is>
          <t>Te doen</t>
        </is>
      </c>
      <c r="G11" s="10" t="n"/>
    </row>
  </sheetData>
  <autoFilter ref="A4:G11"/>
  <mergeCells count="2">
    <mergeCell ref="A2:G2"/>
    <mergeCell ref="A1:G1"/>
  </mergeCells>
  <conditionalFormatting sqref="F5:F11">
    <cfRule type="cellIs" priority="1" operator="equal" dxfId="3">
      <formula>"Klaar"</formula>
    </cfRule>
    <cfRule type="cellIs" priority="2" operator="equal" dxfId="2">
      <formula>"Bezig"</formula>
    </cfRule>
    <cfRule type="cellIs" priority="3" operator="equal" dxfId="1">
      <formula>"Geblokkeerd"</formula>
    </cfRule>
    <cfRule type="cellIs" priority="4" operator="equal" dxfId="0">
      <formula>"Vervalt"</formula>
    </cfRule>
  </conditionalFormatting>
  <dataValidations count="1">
    <dataValidation sqref="F5:F11" showDropDown="0" showInputMessage="0" showErrorMessage="0" allowBlank="1" errorTitle="Ongeldige status" error="Kies een status uit de lijst." type="list">
      <formula1>"Te doen,Bezig,Klaar,Geblokkeerd,Vervalt"</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2026-09-10T09:34:37Z</dcterms:created>
  <dcterms:modified xmlns:dcterms="http://purl.org/dc/terms/" xmlns:xsi="http://www.w3.org/2001/XMLSchema-instance" xsi:type="dcterms:W3CDTF">2026-09-14T08:14:09Z</dcterms:modified>
  <cp:lastModifiedBy>Janou De Buyser</cp:lastModifiedBy>
</cp:coreProperties>
</file>
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kuleuven-my.sharepoint.com/personal/janou_debuyser_kuleuven_be1/Documents/Documents/PhD Brugge/Site/"/>
    </mc:Choice>
  </mc:AlternateContent>
  <xr:revisionPtr revIDLastSave="6" documentId="11_BD600FB87C3722EDD7AEB33573C921E60A419D9F" xr6:coauthVersionLast="47" xr6:coauthVersionMax="47" xr10:uidLastSave="{55FD3096-EDF3-474D-A7E7-6F8E15AADC44}"/>
  <bookViews>
    <workbookView xWindow="-110" yWindow="-110" windowWidth="25820" windowHeight="15500" activeTab="4" xr2:uid="{00000000-000D-0000-FFFF-FFFF00000000}"/>
  </bookViews>
  <sheets>
    <sheet name="Overzicht" sheetId="1" r:id="rId1"/>
    <sheet name="Taken" sheetId="2" r:id="rId2"/>
    <sheet name="Openstaande punten" sheetId="3" r:id="rId3"/>
    <sheet name="Go-NoGo" sheetId="4" r:id="rId4"/>
    <sheet name="Mijlpalen" sheetId="5" r:id="rId5"/>
  </sheets>
  <definedNames>
    <definedName name="_xlnm._FilterDatabase" localSheetId="3" hidden="1">'Go-NoGo'!$A$4:$F$12</definedName>
    <definedName name="_xlnm._FilterDatabase" localSheetId="4" hidden="1">Mijlpalen!$A$4:$G$11</definedName>
    <definedName name="_xlnm._FilterDatabase" localSheetId="2" hidden="1">'Openstaande punten'!$A$4:$G$29</definedName>
    <definedName name="_xlnm._FilterDatabase" localSheetId="1" hidden="1">Taken!$A$4:$I$79</definedName>
    <definedName name="_xlnm.Print_Titles" localSheetId="3">'Go-NoGo'!$4:$4</definedName>
    <definedName name="_xlnm.Print_Titles" localSheetId="4">Mijlpalen!$4:$4</definedName>
    <definedName name="_xlnm.Print_Titles" localSheetId="2">'Openstaande punten'!$4:$4</definedName>
    <definedName name="_xlnm.Print_Titles" localSheetId="1">Taken!$4:$4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 r="F10" i="1"/>
  <c r="E10" i="1"/>
  <c r="D10" i="1"/>
  <c r="C10" i="1"/>
  <c r="B10" i="1"/>
  <c r="H10" i="1" s="1"/>
  <c r="G9" i="1"/>
  <c r="F9" i="1"/>
  <c r="E9" i="1"/>
  <c r="H9" i="1" s="1"/>
  <c r="D9" i="1"/>
  <c r="C9" i="1"/>
  <c r="B9" i="1"/>
  <c r="G8" i="1"/>
  <c r="F8" i="1"/>
  <c r="E8" i="1"/>
  <c r="D8" i="1"/>
  <c r="C8" i="1"/>
  <c r="B8" i="1"/>
  <c r="H8" i="1" s="1"/>
  <c r="G7" i="1"/>
  <c r="G11" i="1" s="1"/>
  <c r="F7" i="1"/>
  <c r="F11" i="1" s="1"/>
  <c r="E7" i="1"/>
  <c r="E11" i="1" s="1"/>
  <c r="D7" i="1"/>
  <c r="D11" i="1" s="1"/>
  <c r="C7" i="1"/>
  <c r="C11" i="1" s="1"/>
  <c r="B7" i="1"/>
  <c r="B11" i="1" s="1"/>
  <c r="H11" i="1" s="1"/>
  <c r="H7" i="1" l="1"/>
</calcChain>
</file>

<file path=xl/sharedStrings.xml><?xml version="1.0" encoding="utf-8"?>
<sst xmlns="http://schemas.openxmlformats.org/spreadsheetml/2006/main" count="1024" uniqueCount="592">
  <si>
    <t>Mijlpalen</t>
  </si>
  <si>
    <t>De zeven mijlpalen die aan werkpakket 1 hangen. MS7 en MS8 horen bij WP2 en WP3.</t>
  </si>
  <si>
    <t>MS</t>
  </si>
  <si>
    <t>Wat</t>
  </si>
  <si>
    <t>Uit taak</t>
  </si>
  <si>
    <t>FWO-planning</t>
  </si>
  <si>
    <t>Volgens protocol</t>
  </si>
  <si>
    <t>Status</t>
  </si>
  <si>
    <t>Opmerking</t>
  </si>
  <si>
    <t>MS1</t>
  </si>
  <si>
    <t>Boekjes en protocollen gemaakt</t>
  </si>
  <si>
    <t>1.2, 1.3</t>
  </si>
  <si>
    <t>M6 · feb 27</t>
  </si>
  <si>
    <t>idem</t>
  </si>
  <si>
    <t>Te doen</t>
  </si>
  <si>
    <t>MS2</t>
  </si>
  <si>
    <t>Gunstige ethische beoordeling verkregen</t>
  </si>
  <si>
    <t>1.1</t>
  </si>
  <si>
    <t>MS3</t>
  </si>
  <si>
    <t>Piloot en dataverzameling geslaagd</t>
  </si>
  <si>
    <t>1.5</t>
  </si>
  <si>
    <t>MS4</t>
  </si>
  <si>
    <t>144 gerekruteerd en gerandomiseerd</t>
  </si>
  <si>
    <t>1.6</t>
  </si>
  <si>
    <t>M24 · aug 28</t>
  </si>
  <si>
    <t>M18 · feb 28</t>
  </si>
  <si>
    <t>MS5</t>
  </si>
  <si>
    <t>Optimal en Usual Care geleverd</t>
  </si>
  <si>
    <t>1.7</t>
  </si>
  <si>
    <t>M42 · feb 30</t>
  </si>
  <si>
    <t>M37 · sep 29</t>
  </si>
  <si>
    <t>MS6</t>
  </si>
  <si>
    <t>Opvolgbeoordelingen afgerond</t>
  </si>
  <si>
    <t>MS9</t>
  </si>
  <si>
    <t>Rapport klinische effectiviteit</t>
  </si>
  <si>
    <t>1.8</t>
  </si>
  <si>
    <t>M48 · aug 30</t>
  </si>
  <si>
    <t>PARADISE — werkpakket 1</t>
  </si>
  <si>
    <t>Blad</t>
  </si>
  <si>
    <t>Totaal</t>
  </si>
  <si>
    <t>Bezig</t>
  </si>
  <si>
    <t>Klaar</t>
  </si>
  <si>
    <t>Geblokkeerd</t>
  </si>
  <si>
    <t>Vervalt</t>
  </si>
  <si>
    <t>Klaar (%)</t>
  </si>
  <si>
    <t>Taken</t>
  </si>
  <si>
    <t>Openstaande punten</t>
  </si>
  <si>
    <t>Go-NoGo</t>
  </si>
  <si>
    <t>Alles samen</t>
  </si>
  <si>
    <t>Statuswaarden: Te doen · Bezig · Klaar · Geblokkeerd · Vervalt</t>
  </si>
  <si>
    <t>Werkpakket 1 — taken en deelactiviteiten</t>
  </si>
  <si>
    <t>De acht taken uit de FWO-aanvraag, met de deelactiviteiten uit het operationele draaiboek. Maanden geteld vanaf september 2026.</t>
  </si>
  <si>
    <t>Nr</t>
  </si>
  <si>
    <t>Taak</t>
  </si>
  <si>
    <t>Wat er moet gebeuren</t>
  </si>
  <si>
    <t>Maanden</t>
  </si>
  <si>
    <t>Kalender</t>
  </si>
  <si>
    <t>Deliverable</t>
  </si>
  <si>
    <t>Wie</t>
  </si>
  <si>
    <t>Taak 1.1 — Ethische indiening en registratie · M1–5 · D1.1 · kritisch pad</t>
  </si>
  <si>
    <t>1.1a</t>
  </si>
  <si>
    <t>Centrale indiening</t>
  </si>
  <si>
    <t>Clinical investigation plan, toestemmingsformulieren, patiëntmateriaal en investigator's brochure indienen bij EC UZ Leuven, het FAGG en de zes lokale commissies</t>
  </si>
  <si>
    <t>1–2</t>
  </si>
  <si>
    <t>sep – okt 26</t>
  </si>
  <si>
    <t>D1.1</t>
  </si>
  <si>
    <t>PhD-A + Deschamps</t>
  </si>
  <si>
    <t xml:space="preserve">CTC en FAGG nog te doen </t>
  </si>
  <si>
    <t>1.1b</t>
  </si>
  <si>
    <t>Toestemmingsformulieren</t>
  </si>
  <si>
    <t>Nederlands op maximaal B1-niveau, met GDPR-clausules; ook de deelnemende therapeuten tekenen</t>
  </si>
  <si>
    <t>PhD-A</t>
  </si>
  <si>
    <t>Bijlage 3 samengesteld op 10 sep</t>
  </si>
  <si>
    <t>1.1c</t>
  </si>
  <si>
    <t>Verzekering</t>
  </si>
  <si>
    <t>Foutloze aansprakelijkheid van de sponsor volgens de wet van 7 mei 2004, gedekt via polis</t>
  </si>
  <si>
    <t>KU Leuven rechtsdienst</t>
  </si>
  <si>
    <t>?</t>
  </si>
  <si>
    <t>1.1d</t>
  </si>
  <si>
    <t>Wettelijk kader vastleggen</t>
  </si>
  <si>
    <t>ISO 14155:2020 · Verordening 2017/745 · Verordening 2016/679 · wet 22 dec 2020 · KB 18 mei 2021 · wet 22 aug 2002 · Helsinki · ICH-GCP E6(R3)</t>
  </si>
  <si>
    <t>1</t>
  </si>
  <si>
    <t>sep 26</t>
  </si>
  <si>
    <t>1.1e</t>
  </si>
  <si>
    <t>Monitoringopzet laten bevestigen</t>
  </si>
  <si>
    <t>Het coördinerende comité moet de opzet en de verenigbaarheid met ISO 14155 en ICH-GCP E6 bevestigen vóór de indiening</t>
  </si>
  <si>
    <t>Coördinerend comité</t>
  </si>
  <si>
    <t>Openstaand punt 25</t>
  </si>
  <si>
    <t>1.1f</t>
  </si>
  <si>
    <t>Zes lokale goedkeuringen</t>
  </si>
  <si>
    <t>Per centrum indienen na de centrale beslissing, binnen dertig dagen</t>
  </si>
  <si>
    <t>2–5</t>
  </si>
  <si>
    <t>okt 26 – jan 27</t>
  </si>
  <si>
    <t>PhD-A + site-PI</t>
  </si>
  <si>
    <t>1.1g</t>
  </si>
  <si>
    <t>Site Agreements</t>
  </si>
  <si>
    <t>Per ziekenhuis, opgesteld met de juridische dienst</t>
  </si>
  <si>
    <t>KU Leuven juridisch</t>
  </si>
  <si>
    <t>1.1h</t>
  </si>
  <si>
    <t>Subsidiecontracten</t>
  </si>
  <si>
    <t>KU Leuven met elk partnerziekenhuis</t>
  </si>
  <si>
    <t>KU Leuven</t>
  </si>
  <si>
    <t>1.1i</t>
  </si>
  <si>
    <t>Studieregistratie</t>
  </si>
  <si>
    <t>ClinicalTrials.gov en BELCRI, vóór de eerste deelnemer. Vult meteen drie blanco velden in het manuscript</t>
  </si>
  <si>
    <t>2</t>
  </si>
  <si>
    <t>okt 26</t>
  </si>
  <si>
    <t>Openstaand punt 21</t>
  </si>
  <si>
    <t>1.1j</t>
  </si>
  <si>
    <t>Verwerkersovereenkomsten</t>
  </si>
  <si>
    <t>Per centrum, plus aanmelding bij de DPO en een datastroomdiagram</t>
  </si>
  <si>
    <t>2–3</t>
  </si>
  <si>
    <t>okt – nov 26</t>
  </si>
  <si>
    <t>DPO + PhD-A</t>
  </si>
  <si>
    <t>1.1k</t>
  </si>
  <si>
    <t>Bewaartermijn vastleggen</t>
  </si>
  <si>
    <t>Tien of vijftien jaar — de twee manuscriptversies spreken elkaar tegen</t>
  </si>
  <si>
    <t>Openstaand punt 10</t>
  </si>
  <si>
    <t>Taak 1.2 — Assessment booklet · M1–5 · D1.2 · MS1</t>
  </si>
  <si>
    <t>1.2a</t>
  </si>
  <si>
    <t>Gebruiksrechten instrumenten</t>
  </si>
  <si>
    <t>NAFF, HLS-EU-6, EQ-5D-5L (licentie EuroQol), iMCQ en iPCQ (iMTA), MOS-revised, slijtageschaal — met copyright-log</t>
  </si>
  <si>
    <t>D1.2</t>
  </si>
  <si>
    <t>Register to use a EuroQol instrument - EuroQol https://www.imta.nl/questionnaires/imcq/register/?utm_source=chatgpt.com</t>
  </si>
  <si>
    <t>1.2b</t>
  </si>
  <si>
    <t>CRF-set</t>
  </si>
  <si>
    <t>Volgens tabel 2 van het manuscript; papieren bronformulieren, daarna overzetten naar het elektronische CRF</t>
  </si>
  <si>
    <t>2–4</t>
  </si>
  <si>
    <t>okt – dec 26</t>
  </si>
  <si>
    <t>PhD-A + PhD-B</t>
  </si>
  <si>
    <t>1.2c</t>
  </si>
  <si>
    <t>Folder dagelijkse voetzorg</t>
  </si>
  <si>
    <t>Het document dat de patiënt mee naar huis krijgt</t>
  </si>
  <si>
    <t>48_Voetzorgfolder bestaat</t>
  </si>
  <si>
    <t>1.2d</t>
  </si>
  <si>
    <t>Educatiekaart schoeisel</t>
  </si>
  <si>
    <t>Binnen én buiten dragen, visueel schema</t>
  </si>
  <si>
    <t>1.2e</t>
  </si>
  <si>
    <t>Uitlegfiche Orthotimer</t>
  </si>
  <si>
    <t>Framing als 'uw sensor': enkel temperatuur, geen GPS, geluid of camera</t>
  </si>
  <si>
    <t>1.2f</t>
  </si>
  <si>
    <t>Feedbacksjabloon therapietrouw</t>
  </si>
  <si>
    <t>Visuele weergave van de sensordata voor stap 3 en 4</t>
  </si>
  <si>
    <t>1.2g</t>
  </si>
  <si>
    <t>Leesbaarheidstest</t>
  </si>
  <si>
    <t>Maximaal B1-niveau, bij drie pilootpatiënten</t>
  </si>
  <si>
    <t>4</t>
  </si>
  <si>
    <t>dec 26</t>
  </si>
  <si>
    <t>PhD-A + Diabetes Liga</t>
  </si>
  <si>
    <t>1.2h</t>
  </si>
  <si>
    <t>Consensusvergadering</t>
  </si>
  <si>
    <t>Pre-read twee weken vooraf, per instrument een kwartier, ondertekende notulen</t>
  </si>
  <si>
    <t>Deschamps + partners</t>
  </si>
  <si>
    <t>Levert MS1</t>
  </si>
  <si>
    <t>Taak 1.3 — Protocollen voor Usual en Optimal Care · M1–5 · D1.3</t>
  </si>
  <si>
    <t>SOP-1</t>
  </si>
  <si>
    <t>Voetscreening en IWGDF-classificatie</t>
  </si>
  <si>
    <t>Onderzoeksvolgorde, afkappunten, fotografieprotocol, beslisboom, inter-rater reliability κ ≥ 0,80</t>
  </si>
  <si>
    <t>D1.3</t>
  </si>
  <si>
    <t>PhD-A + podoloog + KU Leuven</t>
  </si>
  <si>
    <t>SOP-2</t>
  </si>
  <si>
    <t>Plantaire drukmeting</t>
  </si>
  <si>
    <t>PhD-A + technoloog</t>
  </si>
  <si>
    <t>Werkinstructie pedar ontbreekt — punt 16</t>
  </si>
  <si>
    <t>SOP-3</t>
  </si>
  <si>
    <t>Schoeisel, CMFO en Orthotimer</t>
  </si>
  <si>
    <t>Opbouw per schoentype, mediale steun 3-5 mm, metatarsaalbalk 9-10 mm, deklaag, pasvorm binnen én buiten met fotodocumentatie</t>
  </si>
  <si>
    <t>Pedorthist + PhD-A</t>
  </si>
  <si>
    <t>SOP-4</t>
  </si>
  <si>
    <t>Uitlezen en therapietrouwnorm</t>
  </si>
  <si>
    <t>Waaktijd als noemer, 80% als responderdrempel, tussenresultaat tonen in uren</t>
  </si>
  <si>
    <t>3</t>
  </si>
  <si>
    <t>nov 26</t>
  </si>
  <si>
    <t>PhD-A + statisticus</t>
  </si>
  <si>
    <t>SOP-5</t>
  </si>
  <si>
    <t>SEBIA — vijf stappen</t>
  </si>
  <si>
    <t>Stap 1 baseline, 2 op visite 2, 3 op maand 6 en 12, 4 op maand 9 en 15, 5 op maand 18</t>
  </si>
  <si>
    <t>PhD-A + Dobbels</t>
  </si>
  <si>
    <t>SOP-6</t>
  </si>
  <si>
    <t>Ulcusdetectie en documentatie</t>
  </si>
  <si>
    <t>Zie taak 1.4</t>
  </si>
  <si>
    <t>D1.4</t>
  </si>
  <si>
    <t>PhD-A + arts</t>
  </si>
  <si>
    <t>SOP-7</t>
  </si>
  <si>
    <t>Randomisatie en blindering</t>
  </si>
  <si>
    <t>Identieke enveloppen, door elkaar gestoken; openen pas na geschiktheid, toestemming en baselinemetingen; documenteren met datum, uur en code</t>
  </si>
  <si>
    <t>PhD-A+ Deschamps</t>
  </si>
  <si>
    <t>Methode nog nergens beschreven — punt 2</t>
  </si>
  <si>
    <t>SOP-8</t>
  </si>
  <si>
    <t>Databeheer en monitoring</t>
  </si>
  <si>
    <t>Rollen, wekelijks querymanagement, afwijkingenlog, dagelijkse back-up, risicogebaseerd monitoringplan</t>
  </si>
  <si>
    <t>3–4</t>
  </si>
  <si>
    <t>nov – dec 26</t>
  </si>
  <si>
    <t>Taak 1.4 — Ulcusprotocol · M1–5 · D1.4 · draagt het primaire eindpunt</t>
  </si>
  <si>
    <t>1.4a</t>
  </si>
  <si>
    <t>Definitie en afbakening</t>
  </si>
  <si>
    <t>IWGDF-definitie; wrijvingsletsels aan laterale of dorsale voet binnen drie weken na nieuw schoeisel tellen niet mee</t>
  </si>
  <si>
    <t>PhD-A + arts+ Deschamps</t>
  </si>
  <si>
    <t>1.4b</t>
  </si>
  <si>
    <t>Meldings- en documentatieroute</t>
  </si>
  <si>
    <t>Onmiddellijk aan de investigator; foto's, debridement, PEDIS en WIfI; geanonimiseerd naar een beveiligd platform</t>
  </si>
  <si>
    <t>ManGO</t>
  </si>
  <si>
    <t>1.4c</t>
  </si>
  <si>
    <t>Fotoplatform regelen</t>
  </si>
  <si>
    <t>Keuze, gegevensbeschermingsbeoordeling, één aangeduide arts per centrum, één testcasus doorlopen</t>
  </si>
  <si>
    <t>PhD-A + DPO</t>
  </si>
  <si>
    <t>Langste doorlooptijd buiten eigen controle</t>
  </si>
  <si>
    <t>1.4d</t>
  </si>
  <si>
    <t>Beslissen wie het ulcus vaststelt</t>
  </si>
  <si>
    <t>Onafhankelijke geblindeerde commissie, of het multidisciplinaire team dat nu in het manuscript staat</t>
  </si>
  <si>
    <t>Deschamps + PhD-A</t>
  </si>
  <si>
    <t>Openstaand punt 1 — eerst doen</t>
  </si>
  <si>
    <t>1.4e</t>
  </si>
  <si>
    <t>AE- en SAE-procedure</t>
  </si>
  <si>
    <t>Registratie bij elke visite; sponsor binnen 72 u, EC en FAGG binnen 7 of 15 dagen</t>
  </si>
  <si>
    <t>Parallel — drie sporen zonder taaknummer, wel in de Go-criteria</t>
  </si>
  <si>
    <t>P-A1</t>
  </si>
  <si>
    <t>Drukmeetsystemen</t>
  </si>
  <si>
    <t>Bestellen (levertijd zes tot acht weken), installeren, servicecontract, reserveonderdelen en kalibratiemateriaal</t>
  </si>
  <si>
    <t>—</t>
  </si>
  <si>
    <t>KU Leuven admin</t>
  </si>
  <si>
    <t>mail is uitgestuurd, installatie is volgende stap</t>
  </si>
  <si>
    <t>P-A2</t>
  </si>
  <si>
    <t>Inter-rater reliability</t>
  </si>
  <si>
    <t>Twee operatoren, minstens vijftien personen per centrum, doel ICC ≥ 0,80, ook op vervormde voeten</t>
  </si>
  <si>
    <t>Op welk toestel? — punt 22</t>
  </si>
  <si>
    <t>P-A3</t>
  </si>
  <si>
    <t>Orthotimer en MoveMonitor</t>
  </si>
  <si>
    <t>Sensoren, uitleessoftware, serienummerregister, uitgifte- en retourformulier, instructiekaart</t>
  </si>
  <si>
    <t>Aantal hangt af van punt 9</t>
  </si>
  <si>
    <t>P-A4</t>
  </si>
  <si>
    <t>Databank bouwen REDCAP</t>
  </si>
  <si>
    <t>Screening, baseline, zes opvolgtijdstippen, eventformulieren, randomisatie, afwijkingenlog, procesevaluatie</t>
  </si>
  <si>
    <t>1–5</t>
  </si>
  <si>
    <t>sep 26 – jan 27</t>
  </si>
  <si>
    <t>P-A5</t>
  </si>
  <si>
    <t>Acceptatietest en versie-lock</t>
  </si>
  <si>
    <t>Eén testgebruiker per centrum de volledige flow laten doorlopen; nul kritische bugs</t>
  </si>
  <si>
    <t>4–5</t>
  </si>
  <si>
    <t>dec 26 – jan 27</t>
  </si>
  <si>
    <t>Go-criterium 3</t>
  </si>
  <si>
    <t>P-B1</t>
  </si>
  <si>
    <t>Module 1 — theoretisch kader</t>
  </si>
  <si>
    <t>Vier uur, centraal, met kennistoets</t>
  </si>
  <si>
    <t>P-B2</t>
  </si>
  <si>
    <t>Module 2 — SEBIA hands-on</t>
  </si>
  <si>
    <t>Vier uur, drie casussen, rollenspel per stap, motiverende gespreksvoering</t>
  </si>
  <si>
    <t>P-B3</t>
  </si>
  <si>
    <t>Module 3 — technologie on-site</t>
  </si>
  <si>
    <t>Twee uur per centrum: kalibratie, regio-indeling, sensoren, troubleshooting</t>
  </si>
  <si>
    <t>P-B4</t>
  </si>
  <si>
    <t>Module 4 — certificering</t>
  </si>
  <si>
    <t>Vier uur met gesimuleerde patiëntcontacten; kennistoets ≥ 80% en alle domeinen ≥ 3 op 4</t>
  </si>
  <si>
    <t>Dobbels + PhD-A</t>
  </si>
  <si>
    <t>Go-criterium 4</t>
  </si>
  <si>
    <t>P-B5</t>
  </si>
  <si>
    <t>Module 5 — data-entry</t>
  </si>
  <si>
    <t>Twee uur per centrum; omvang hangt af van de formulierenroute</t>
  </si>
  <si>
    <t xml:space="preserve">PhD-A </t>
  </si>
  <si>
    <t>Openstaand punt 20</t>
  </si>
  <si>
    <t>P-C1</t>
  </si>
  <si>
    <t>Methodevergelijking pedar – F-Scan GO</t>
  </si>
  <si>
    <t>Parallel aan de trial, door het studieteam; Bland-Altman, ICC per regio, Passing-Bablok, ROC, kappa</t>
  </si>
  <si>
    <t>2 en verder</t>
  </si>
  <si>
    <t>okt 26 →</t>
  </si>
  <si>
    <t>Geen startvoorwaarde — punt 22</t>
  </si>
  <si>
    <t>Taak 1.5 — Piloot en Go/No-Go · M5–6 · D1.5 · MS3</t>
  </si>
  <si>
    <t>1.5a</t>
  </si>
  <si>
    <t>Pilootpatiënten selecteren</t>
  </si>
  <si>
    <t>Eén per centrum, risicocategorie 3, geen studiepatiënt, met aparte toestemming</t>
  </si>
  <si>
    <t>D1.5</t>
  </si>
  <si>
    <t>Lokale PI</t>
  </si>
  <si>
    <t>1.5b</t>
  </si>
  <si>
    <t>Pilootconsent laten goedkeuren</t>
  </si>
  <si>
    <t>Beschrijft de piloot als testrun, niet als klinische studie</t>
  </si>
  <si>
    <t>1.5c</t>
  </si>
  <si>
    <t>Pilootbezoek uitvoeren</t>
  </si>
  <si>
    <t>Volledige keten met tijdregistratie per onderdeel; doel onder negentig minuten productief</t>
  </si>
  <si>
    <t>5–6</t>
  </si>
  <si>
    <t>jan – feb 27</t>
  </si>
  <si>
    <t>Podoloog + technoloog</t>
  </si>
  <si>
    <t>PhD-A observeert in elk centrum</t>
  </si>
  <si>
    <t>1.5d</t>
  </si>
  <si>
    <t>Debriefing per centrum</t>
  </si>
  <si>
    <t>Dertig minuten binnen de week; elk knelpunt als kritisch of optimaliseerbaar</t>
  </si>
  <si>
    <t>6</t>
  </si>
  <si>
    <t>feb 27</t>
  </si>
  <si>
    <t>1.5e</t>
  </si>
  <si>
    <t>Pilootrapport en updates</t>
  </si>
  <si>
    <t>Knelpuntenmatrix, SOP's naar v1.1, databank naar v1.1</t>
  </si>
  <si>
    <t>1.5f</t>
  </si>
  <si>
    <t>Go/No-Go-vergadering</t>
  </si>
  <si>
    <t>Zeven criteria, unanimiteit vereist, startdatum inclusie vastleggen</t>
  </si>
  <si>
    <t>Executive Board</t>
  </si>
  <si>
    <t>Zie blad Go-NoGo</t>
  </si>
  <si>
    <t>Taak 1.6 — Rekrutering van 144 · M6–18 · D1.6 · MS4</t>
  </si>
  <si>
    <t>1.6a</t>
  </si>
  <si>
    <t>Screening opstarten</t>
  </si>
  <si>
    <t>Retrospectief in de raadplegingsagenda's en prospectieve verwijzingen</t>
  </si>
  <si>
    <t>D1.6</t>
  </si>
  <si>
    <t>1.6b</t>
  </si>
  <si>
    <t>Screeningslog bijhouden</t>
  </si>
  <si>
    <t>Iedereen die overwogen werd, met reden bij uitsluiting; voedt het CONSORT-diagram</t>
  </si>
  <si>
    <t>6–18</t>
  </si>
  <si>
    <t>feb 27 – feb 28</t>
  </si>
  <si>
    <t>1.6c</t>
  </si>
  <si>
    <t>Maandelijkse rekruteringsopvolging</t>
  </si>
  <si>
    <t>Twee per centrum per maand; bij scheve verdeling gefaseerde inclusie</t>
  </si>
  <si>
    <t>1.6d</t>
  </si>
  <si>
    <t>Uitval opvolgen tegen de aanname</t>
  </si>
  <si>
    <t>15% is een aanname; bij overschrijding wordt de rekrutering verlengd</t>
  </si>
  <si>
    <t>Taak 1.7 — Alle beoordelingen · M7–37 · D1.7 · MS5 en MS6</t>
  </si>
  <si>
    <t>1.7a</t>
  </si>
  <si>
    <t>Negen contacten per deelnemer</t>
  </si>
  <si>
    <t>Screening, baseline, visite 2, en maand 3, 6, 9, 12, 15 en 18</t>
  </si>
  <si>
    <t>7–37</t>
  </si>
  <si>
    <t>mrt 27 – sep 29</t>
  </si>
  <si>
    <t>D1.7</t>
  </si>
  <si>
    <t>Centra + studieteam</t>
  </si>
  <si>
    <t>1.7b</t>
  </si>
  <si>
    <t>Drukmeting op vier momenten</t>
  </si>
  <si>
    <t>Baseline, maand 6, 12 en 18; behaalde reductie per deelnemer registreren</t>
  </si>
  <si>
    <t>Klinisch team</t>
  </si>
  <si>
    <t>1.7c</t>
  </si>
  <si>
    <t>MoveMonitor twee volle weken</t>
  </si>
  <si>
    <t>Zeven dagen op baseline en zeven dagen op maand 6, in beide armen</t>
  </si>
  <si>
    <t>Centra</t>
  </si>
  <si>
    <t>1.7d</t>
  </si>
  <si>
    <t>Orthotimer driemaandelijks uitlezen</t>
  </si>
  <si>
    <t>Uitlezen en batterij vervangen bij elke kwartaalvisite</t>
  </si>
  <si>
    <t>1.7e</t>
  </si>
  <si>
    <t>Sensordatavolledigheid bewaken</t>
  </si>
  <si>
    <t>Halfjaarlijks centraal nakijken; onder 70% in een centrum volgt herscholing</t>
  </si>
  <si>
    <t>1.7f</t>
  </si>
  <si>
    <t>Halfjaarlijkse veiligheidsreview</t>
  </si>
  <si>
    <t>Cumulatieve ulceratie en amputatie per arm, met Aalen-Johansen en sterfte als concurrerend risico</t>
  </si>
  <si>
    <t>PhD-A + site-PI's</t>
  </si>
  <si>
    <t>1.7g</t>
  </si>
  <si>
    <t>Centrale monitoring</t>
  </si>
  <si>
    <t>Rekrutering, toestemming, afwijkingen, datavolledigheid, envelopintegriteit, veiligheidsrapportering</t>
  </si>
  <si>
    <t>Monitor</t>
  </si>
  <si>
    <t>Taak 1.8 — Analyse en publicatie · M43–48 · D1.8 · MS9</t>
  </si>
  <si>
    <t>1.8a</t>
  </si>
  <si>
    <t>Statistisch analyseplan schrijven</t>
  </si>
  <si>
    <t>Afgewerkt, versiebeheerd én gepubliceerd of gedeponeerd vóór de database-lock</t>
  </si>
  <si>
    <t>Bijlage 4</t>
  </si>
  <si>
    <t>Staat voor oktober 2026</t>
  </si>
  <si>
    <t>1.8b</t>
  </si>
  <si>
    <t>Database-lock</t>
  </si>
  <si>
    <t>Na afronding van de laatste opvolgvisite</t>
  </si>
  <si>
    <t>38–42</t>
  </si>
  <si>
    <t>okt 29 – feb 30</t>
  </si>
  <si>
    <t>D1.8</t>
  </si>
  <si>
    <t>1.8c</t>
  </si>
  <si>
    <t>Primaire analyse</t>
  </si>
  <si>
    <t>Cox gestratificeerd naar centrum, oorzaakspecifieke hazard primair, Fine-Gray en cumulatieve incidentie ernaast</t>
  </si>
  <si>
    <t>43–46</t>
  </si>
  <si>
    <t>mrt – jun 30</t>
  </si>
  <si>
    <t>Coördinerend onderzoeker</t>
  </si>
  <si>
    <t>1.8d</t>
  </si>
  <si>
    <t>Mediatie- en secundaire analyses</t>
  </si>
  <si>
    <t>Beta-regressie voor therapietrouw, vier vooraf bepaalde subgroepen, mediatie als ondersteunend</t>
  </si>
  <si>
    <t>1.8e</t>
  </si>
  <si>
    <t>Manuscript en rapportage</t>
  </si>
  <si>
    <t>Eén multicentrische publicatie volgens CONSORT 2025; resultaten in het register binnen twaalf maanden na de laatste visite</t>
  </si>
  <si>
    <t>46–48</t>
  </si>
  <si>
    <t>jun – aug 30</t>
  </si>
  <si>
    <t>1.8f</t>
  </si>
  <si>
    <t>Samenvatting in gewone taal</t>
  </si>
  <si>
    <t>Voor alle deelnemers, ongeacht de uitkomst</t>
  </si>
  <si>
    <t>48</t>
  </si>
  <si>
    <t>aug 30</t>
  </si>
  <si>
    <t>Vijfentwintig punten, geordend naar wat ze vragen. Nagelopen tegen de bestanden op 10 september 2026.</t>
  </si>
  <si>
    <t>Punt</t>
  </si>
  <si>
    <t>Waar</t>
  </si>
  <si>
    <t>Prioriteit</t>
  </si>
  <si>
    <t xml:space="preserve">A — Tegenstrijdig binnen het manuscript </t>
  </si>
  <si>
    <t>Wie het ulcus vaststelt</t>
  </si>
  <si>
    <t>Beslist: het multidisciplinaire team, zoals de diagnose in de praktijk gesteld wordt. Er komt geen onafhankelijke geblindeerde adjudicatiecommissie. Zes plaatsen gelijkgezet: methodesectie (stond al goed), Strengths, Limitations, tabel 2 en de statistieksectie. In de Limitations staat het ontbreken van geblindeerde adjudicatie nu zelf als beperking.</t>
  </si>
  <si>
    <t>Methods, Strengths, Limitations, tabel 3, statistiek, SPIRIT 3d en 24c</t>
  </si>
  <si>
    <t>Hoog</t>
  </si>
  <si>
    <t>Beslissing PI 14 sep</t>
  </si>
  <si>
    <t>Randomisatiemethode</t>
  </si>
  <si>
    <t>Gedaan: de methodesectie beschrijft nu hoe de volgorde tot stand komt (SPIRIT 16a) - 24 toewijzingen per centrum, 12 per arm, in identieke ondoorzichtige enveloppen, samen geschud en pas daarna genummerd, geen blokschema - met de voorspelbaarheid tegen het einde van een centrum er eerlijk bij. 'Variable permuted blocks' is uit het onderschrift van figuur 1.</t>
  </si>
  <si>
    <t>Methods, onderschrift figuur 1</t>
  </si>
  <si>
    <t>Afgewerkt 14 sep</t>
  </si>
  <si>
    <t>Doelstelling en hypothesen</t>
  </si>
  <si>
    <t>Gedaan: Objectives noemt een primair doel (ulcusrecidief over 18 maanden) met therapietrouw als vooraf vastgelegde mediator, primair geanalyseerd op 12 maanden. Hypotheses is teruggebracht tot een hypothese, met de mediator erbij en zonder eigen succescriterium.</t>
  </si>
  <si>
    <t>Objectives, Hypotheses</t>
  </si>
  <si>
    <t>Wat Optimal Care omvat</t>
  </si>
  <si>
    <t>De labels '(Optimal Care)' uit tabel 2 halen bij voorschrift en aflevering van de CMFO</t>
  </si>
  <si>
    <t>Tabel 2</t>
  </si>
  <si>
    <t>Middel</t>
  </si>
  <si>
    <t>Titel van tabel 4 is al rechtgezet</t>
  </si>
  <si>
    <t>Drukmeting op visite 2</t>
  </si>
  <si>
    <t>Gedaan: de drukmeting is aangevinkt op V2 in tabel 2 van het manuscript. De aparte visite 0 in het protocoldocument is NIET gedaan: dat vraagt een extra kolom in het SPIRIT-schema en een ingreep in Protocol_PARADISE_17_05_2026.docx.</t>
  </si>
  <si>
    <t>V2 gedaan 14 sep; visite 0 nog</t>
  </si>
  <si>
    <t>B — Redactie en pakket · kan grotendeels vandaag</t>
  </si>
  <si>
    <t>Figuur 3 en 5 zonder titel</t>
  </si>
  <si>
    <t>Titelregel en ondertitel toevoegen in de SVG, zoals figuur 1, 2 en 4 die hebben</t>
  </si>
  <si>
    <t>Figure3_logic_model.svg, Figure5_CPTS.svg</t>
  </si>
  <si>
    <t>Plaatsingsmarkeringen en verwijzingen</t>
  </si>
  <si>
    <t>Gedaan: markeringen toegevoegd voor figuur 1, 4 en 5; de dubbele markering voor tabel 2 verwijderd. Alle negen figuren en tabellen hebben er nu precies een. Bijlage 4 wordt aangehaald in de statistieksectie en figuur 5 in de exploratieve analyse.</t>
  </si>
  <si>
    <t>Lopende tekst</t>
  </si>
  <si>
    <t>Toekenningsbrief FWO</t>
  </si>
  <si>
    <t>Opvragen en toevoegen; bijlage 6 toont nu alleen de ingediende aanvraag</t>
  </si>
  <si>
    <t>Bijlage 6</t>
  </si>
  <si>
    <t>eCRF 01</t>
  </si>
  <si>
    <t>Gedaan: PEDIS graad 3 en immunosuppressieve therapie toegevoegd bij de exclusie (nu negen), stabiele vaatstatus toegevoegd bij de inclusie (nu zes), en '(niet de eerste metatarsaalkop)' vervangen door 'de eerste inbegrepen'.</t>
  </si>
  <si>
    <t>Scoreformulier slijtageschaal</t>
  </si>
  <si>
    <t>Ontbreekt, terwijl de meting op visite 2 en op maand 6, 12 en 18 gepland staat</t>
  </si>
  <si>
    <t>eCRF-set</t>
  </si>
  <si>
    <t>Werkinstructie pedar</t>
  </si>
  <si>
    <t>Gedaan: eCRF 09b bestaat, 18 hoofdstukken, 55 stappen, 17 figuren. Nog 7 openstaande punten achteraan het document.</t>
  </si>
  <si>
    <t>Texas Wound Classification</t>
  </si>
  <si>
    <t>Zit niet meer in de eCRF-set en staat niet in het manuscript</t>
  </si>
  <si>
    <t>Laag</t>
  </si>
  <si>
    <t>Opgelost</t>
  </si>
  <si>
    <t>Formulierenroute</t>
  </si>
  <si>
    <t>Beslist: een centrale REDCap-databank. De centra vullen papieren bronformulieren in en het studieteam zet die centraal over; sitepersoneel voert zelf niets in en het papieren werkblad blijft als brondocument op de site. 'Academic staff' is uit het manuscript.</t>
  </si>
  <si>
    <t>Data collection</t>
  </si>
  <si>
    <t>Zeven blanco velden</t>
  </si>
  <si>
    <t>Drie ingevuld: belangenconflicten, auteursbijdragen (CRediT, door de auteurs te bevestigen) en dankwoord. Vier blijven open omdat ze informatie van buiten vragen: registratienummer en -datum bij ClinicalTrials.gov, de startdatum van de rekrutering en de herschrijfmarkering bij de ethiekgoedkeuring.</t>
  </si>
  <si>
    <t>Abstract, Trial status, Declarations</t>
  </si>
  <si>
    <t>3 van 7 gedaan 14 sep</t>
  </si>
  <si>
    <t>C — Projectdocumenten · bijwerken bij de eerste voortgangsrapportage</t>
  </si>
  <si>
    <t>Go-criterium 6 en 7</t>
  </si>
  <si>
    <t>Gedaan: de ICC-drempel van 0,80 staat nu op de Novel pedar in plaats van de F-Scan GO, en de methodevergelijking is geen startvoorwaarde meer maar loopt parallel aan de trial. Van zeven Go-criteria blijven er zes over.</t>
  </si>
  <si>
    <t>Draaiboek fase 06</t>
  </si>
  <si>
    <t>MS4, MS5 en MS6</t>
  </si>
  <si>
    <t>Staan op M24 en M42; protocol en manuscript komen op M18 en M37 uit</t>
  </si>
  <si>
    <t>Speling, geen probleem</t>
  </si>
  <si>
    <t>Nieuw op 11 september — zelf inpassen waar je ze wilt</t>
  </si>
  <si>
    <t>Blootsvoets of in-shoe — beslist</t>
  </si>
  <si>
    <t>Manuscript, protocol</t>
  </si>
  <si>
    <t>Beslissing PI 11 sep</t>
  </si>
  <si>
    <t>eCRF 09 bijwerken</t>
  </si>
  <si>
    <t>Gedaan: de inleiding beschrijft nu een in-shoe meting zonder de CMFO, in het schoeisel waarmee de deelnemer binnenkomt; beide voeten tegelijk opgenomen en per voet uitgelezen. De titel van tabel 1 zegt 'in het schoeisel zonder diabetische CMFO'. De acht regio's stonden er al goed in.</t>
  </si>
  <si>
    <t>eCRF 09</t>
  </si>
  <si>
    <t>eCRF 24 bijwerken</t>
  </si>
  <si>
    <t>Gedaan op 14 september: de blootsvoetse conditie is uit het formulier, deel A1 (buitenschoeisel) is verwijderd, Tabel 3A heet weer Tabel 3. Wat nog moet: de regiotabellen van zes naar acht regio's per voet.</t>
  </si>
  <si>
    <t>eCRF 24</t>
  </si>
  <si>
    <t>Deels gedaan 14 sep</t>
  </si>
  <si>
    <t>SOP-2 en opleidingsmodule 3 bijwerken</t>
  </si>
  <si>
    <t>Meetprotocol en training moeten de in-shoe condities beschrijven in plaats van een blootsvoetse meting</t>
  </si>
  <si>
    <t>SOP-2, module 3</t>
  </si>
  <si>
    <t>Volgt uit de beslissing</t>
  </si>
  <si>
    <t>Referentie bij nieuw schoeisel beslissen</t>
  </si>
  <si>
    <t>Beantwoord: de meting zónder zool hoort bij elk meetmoment, dus er is geen oude referentie die kan verouderen</t>
  </si>
  <si>
    <t>eCRF 24, SOP-2</t>
  </si>
  <si>
    <t>Opgelost door de beslissing</t>
  </si>
  <si>
    <t>Palet op 200 kPa zetten en verdelen</t>
  </si>
  <si>
    <t>Hoogste niveau op 200 kPa, het niveau van 220 eruit. Bewaren met 'Save custom set' en op alle zes de laptops laden, anders zijn de schermafbeeldingen onderling niet vergelijkbaar</t>
  </si>
  <si>
    <t>novel studio, zes centra</t>
  </si>
  <si>
    <t>Vervangt de segmentatie tot die er is</t>
  </si>
  <si>
    <t>eCRF-Excel: veld voor de schermafbeelding</t>
  </si>
  <si>
    <t>Gedaan: het blad 'Meting' van de Pressure Monitoring Tool heeft blok 4 voor de drie hoogste waarden met hun plaats en blok 6 voor de twee schermafbeeldingen, per conditie.</t>
  </si>
  <si>
    <t>eCRF 09, eCRF 24</t>
  </si>
  <si>
    <t>Set Range toetsen in de droogloop</t>
  </si>
  <si>
    <t>Beantwoord: Set Range past alleen de grafiek aan — begin, eind en verschuiven — en rekent niets opnieuw. De getallen blijven over de hele opname. Frames weglaten kan alleen achteraf, met file master in de novel database.</t>
  </si>
  <si>
    <t>droogloop november</t>
  </si>
  <si>
    <t>MVP-weergave kiezen voor de secundaire analyses</t>
  </si>
  <si>
    <t>Vervalt: de MVP-weergave is niet van belang voor de studie. De norm gaat op MPP.</t>
  </si>
  <si>
    <t>SAP, eCRF 24</t>
  </si>
  <si>
    <t>Schoenmaat 46 en groter</t>
  </si>
  <si>
    <t>Wordt gemeten met YW (44/45); de zool vangt het maatverschil op. Geen ZW bijbestellen, schoenmaat is geen uitsluitingsgrond</t>
  </si>
  <si>
    <t>SOP 09b</t>
  </si>
  <si>
    <t>Beslist 11 sep</t>
  </si>
  <si>
    <t>Novel database: route en beheer</t>
  </si>
  <si>
    <t>De meting start in de novel database (14 sep). De studiedatabank is beslist: één centrale REDCap, centraal ingevoerd vanaf papier. Voor de novel database zelf blijft open of elk centrum een lokale krijgt en hoe de metingen samenkomen.</t>
  </si>
  <si>
    <t>novel database</t>
  </si>
  <si>
    <t>REDCap beslist 14 sep; novel-archief nog open</t>
  </si>
  <si>
    <t>Masker met de acht regio's tekenen</t>
  </si>
  <si>
    <t>Met 'creation of any and percent masks' de acht protocolregio's als percent mask op een referentiezool zetten. Daarna rekent 'multimask evaluation' per meting en 'groupmask evaluation' over alle metingen de piekdruk per regio uit. Dit vervangt het aflezen op het palet als analysemethode.</t>
  </si>
  <si>
    <t>Lost punt 26 op</t>
  </si>
  <si>
    <t>Identificatie in het veld Persons vastleggen</t>
  </si>
  <si>
    <t>Beslist en in de SOP verwerkt: deelnemerscode in ID en External ID, X in beide naamvelden, 01/01/1900 als geboortedatum. Rest nog: dit ook in het datamanagementplan zetten.</t>
  </si>
  <si>
    <t>novel database, DMP</t>
  </si>
  <si>
    <t>Beslist 14 sep; DMP nog</t>
  </si>
  <si>
    <t>Back-up, bewaartermijn en opslaggrens</t>
  </si>
  <si>
    <t>SQL Server Express is begrensd op 10 GB, 1 GB geheugen en 1 processor. Nagaan of 144 deelnemers x drie meetmomenten x twee condities daarbinnen past, en de back-up en de bewaartermijn vastleggen.</t>
  </si>
  <si>
    <t>Handleiding db light p. 5</t>
  </si>
  <si>
    <t>Route van de meetbestanden uit de zes centra</t>
  </si>
  <si>
    <t>Deels: de route van de Pressure Monitoring Tool ligt vast (opslaan, mailen naar janou.debuyser@kuleuven.be, lokaal laten staan). Nog open: hoe het geexporteerde pedar-bestand zelf bij het studieteam raakt, en onder welke naam.</t>
  </si>
  <si>
    <t>SOP 09b, zes centra</t>
  </si>
  <si>
    <t>Deels beslist 14 sep</t>
  </si>
  <si>
    <t>Frames uitsluiten — beantwoord</t>
  </si>
  <si>
    <t>Data uitsluiten kan: 'file master' verwijdert de frames tussen twee markers. Een deelnemer die halverwege blijft staan kan dus uit de opname geknipt worden. Voor de norm blijft het overbodig, want MPP verandert niet door een pauze.</t>
  </si>
  <si>
    <t>Uitgezocht 11 sep</t>
  </si>
  <si>
    <t>eCRF 24: koptekst van deel A2 zegt 'Appendix 23'</t>
  </si>
  <si>
    <t>Vervalt: de dubbele titelregel stond op de pagina van deel A1, en dat deel is verwijderd.</t>
  </si>
  <si>
    <t>Doelregio's op maand 6, 12 en 18</t>
  </si>
  <si>
    <t>Beantwoord: dezelfde drie regio's, over te nemen van het vorige formulier. Ze worden niet opnieuw gekozen.</t>
  </si>
  <si>
    <t>eCRF 24, SAP</t>
  </si>
  <si>
    <t>Deelnemer met maar één paar schoeisel</t>
  </si>
  <si>
    <t>Beantwoord: er wordt enkel in het binnenschoeisel gemeten. Deel A1 (buitenschoeisel) is uit eCRF 24 verwijderd; wat overblijft heet A. BINNENSCHOEISEL. Twee opnames per meetmoment, niet vier.</t>
  </si>
  <si>
    <t>eCRF 24, SOP 09b</t>
  </si>
  <si>
    <t>Date of birth in de database</t>
  </si>
  <si>
    <t>Beslist: 01/01/1900 voor elke deelnemer, samen met een X in beide naamvelden. Het afgeleide veld Age komt daardoor op 126 — dat maakt meteen zichtbaar dat het een plaatshouder is. De werkelijke leeftijd staat in de eCRF.</t>
  </si>
  <si>
    <t>Map Manuals buiten de repo gehouden</t>
  </si>
  <si>
    <t>KU Leuven License Cloud.pdf bevat de registratiecode voor cloud.orthotimer.com. De map staat nu in .gitignore zodat ze niet naar Netlify gepubliceerd wordt.</t>
  </si>
  <si>
    <t>.gitignore</t>
  </si>
  <si>
    <t>14 sep</t>
  </si>
  <si>
    <t>Verkeerde configuratie gezien op een echt scherm</t>
  </si>
  <si>
    <t>Op de schermafbeelding van 14 september staat toestel plidar-G009L met een configuratie van plidar-G026: de linkerzender met de rechterconfiguratie. De software waarschuwt niet. Staat nu als figuur in de SOP.</t>
  </si>
  <si>
    <t>Verwerkt in hoofdstuk 6</t>
  </si>
  <si>
    <t>Batterij minstens 30%</t>
  </si>
  <si>
    <t>Beslist: onder de 30% niet aan een meting beginnen. Staat nu in hoofdstuk 5 van de SOP en in de foutentabel.</t>
  </si>
  <si>
    <t>Route van de meetgegevens</t>
  </si>
  <si>
    <t>Beslist: schermafbeelding in de Pressure Monitoring Tool plakken, opslaan, mailen naar janou.debusyer@kuleuven.be, en het bestand lokaal laten staan zodat het opgehaald kan worden als het mailen mislukt.</t>
  </si>
  <si>
    <t>SOP 09b hfst. 12</t>
  </si>
  <si>
    <t>E-mailadres bevestigd</t>
  </si>
  <si>
    <t>janou.debuyser@kuleuven.be — bevestigd op 14 september en aangepast in de SOP.</t>
  </si>
  <si>
    <t>Bevestigd 14 sep</t>
  </si>
  <si>
    <t>Pressure Monitoring Tool: blad Visit naar 8 regio's</t>
  </si>
  <si>
    <t>Op 14 september gedaan: opschriften 'Barefoot' vervangen door 'zonder zool' (ook in de vier grafiektitels, die vaste tekst waren), en een blad 'Meting' toegevoegd met wat de clinicus noteert — inclusief de acht regio's met maskercodes A-P. Wat nog moet: het blad 'Visit' van zes naar acht regio's per voet, in het overzicht, in de twee blokken RAW DATA EXPORT én in de hulpkolommen waar de grafieken uit lezen. Pas te doen zodra het masker de zestien velden oplevert.</t>
  </si>
  <si>
    <t>Pressure monitoring tool_patient.xlsx</t>
  </si>
  <si>
    <t>Deels gedaan 14 sep; rest hangt aan het masker</t>
  </si>
  <si>
    <t>Twee regels die alleen in de tool staan</t>
  </si>
  <si>
    <t>protocol, SAP, SOP 09b</t>
  </si>
  <si>
    <t>Tabblad hernoemd naar Visit</t>
  </si>
  <si>
    <t>Het blad heette Outdoor, wat niet klopt nu er alleen in het binnenschoeisel gemeten wordt. Hernoemd op zip-niveau zodat de twee grafieken, het afdrukbereik en de documenteigenschappen mee wijzigden en niets verloren ging.</t>
  </si>
  <si>
    <t>Titel van eCRF 24 zegt '(visit 2)'</t>
  </si>
  <si>
    <t>Gedaan: de titel zegt nu '(visit 2, and months 6, 12 and 18)'.</t>
  </si>
  <si>
    <t>Afsluitprocedure en reset in de SOP</t>
  </si>
  <si>
    <t>Hoofdstuk 15 beschrijft het afsluiten in volgorde: meting gestopt, novel studio dicht, meting gecontroleerd in de database, bezoek sluiten, zenders uit, zolen opbergen, router uit, laders. Hoofdstuk 16 geeft vijf treden van licht naar zwaar om iets vastgelopens terug te zetten, met de regel dat na elke reset opnieuw nulgesteld wordt en beide condities over moeten.</t>
  </si>
  <si>
    <t>Fabrieksreset van de zender opvragen bij novel</t>
  </si>
  <si>
    <t>In het materiaal dat we in huis hebben staat geen fabrieksreset van de zender beschreven. De SOP waarschuwt nu om er geen uit te proberen, omdat een zender met gewiste configuratiebestanden onbruikbaar is. Opvragen bij novel en als trede 6 toevoegen.</t>
  </si>
  <si>
    <t>SOP 09b hfst. 16</t>
  </si>
  <si>
    <t>Vastgesteld 14 sep</t>
  </si>
  <si>
    <t>Alinea 65 zei 'own baseline pressure'</t>
  </si>
  <si>
    <t>Manuscript</t>
  </si>
  <si>
    <t>Rechtgezet 14 sep</t>
  </si>
  <si>
    <t>Go/No-Go — maand 6</t>
  </si>
  <si>
    <t>Zeven criteria voor de Executive Board, plus de negen site-readinesscriteria per centrum.</t>
  </si>
  <si>
    <t>Criterium</t>
  </si>
  <si>
    <t>Go-drempel</t>
  </si>
  <si>
    <t>Bewijsstuk</t>
  </si>
  <si>
    <t>Zeven Go-criteria · Executive Board, maand 6, unanimiteit vereist</t>
  </si>
  <si>
    <t>Ethische goedkeuringen</t>
  </si>
  <si>
    <t>Zeven op zeven — centraal, zes lokaal, plus de bevoegde autoriteit</t>
  </si>
  <si>
    <t>Goedkeuringsbrieven en registratienummers</t>
  </si>
  <si>
    <t>Site readiness</t>
  </si>
  <si>
    <t>Zes op zes centra voldoen aan alle negen criteria</t>
  </si>
  <si>
    <t>Ingevulde checklists</t>
  </si>
  <si>
    <t>Zie hieronder</t>
  </si>
  <si>
    <t>Databank operationeel</t>
  </si>
  <si>
    <t>Nul kritische bugs na acceptatietest, versie-locked</t>
  </si>
  <si>
    <t>Testrapport en versielog</t>
  </si>
  <si>
    <t>Certificering zorgverleners</t>
  </si>
  <si>
    <t>Minstens twee per centrum, dus twaalf of meer</t>
  </si>
  <si>
    <t>Certificatenregister in de Trial Master File</t>
  </si>
  <si>
    <t>Pilootrapport</t>
  </si>
  <si>
    <t>Nul onopgeloste kritische knelpunten</t>
  </si>
  <si>
    <t>Pilootrapport v1.0</t>
  </si>
  <si>
    <t>Meetbetrouwbaarheid</t>
  </si>
  <si>
    <t>ICC ≥ 0,80 in alle centra, of gepoold</t>
  </si>
  <si>
    <t>ICC-rapport</t>
  </si>
  <si>
    <t>Methodevergelijking</t>
  </si>
  <si>
    <t>Overeenstemmingsgrenzen gekwantificeerd</t>
  </si>
  <si>
    <t>Bland-Altman-rapport</t>
  </si>
  <si>
    <t>Geen startvoorwaarde meer — punt 22</t>
  </si>
  <si>
    <t>Site readiness — 10criteria, per centrum af te vinken</t>
  </si>
  <si>
    <t>Site readiness — negen criteria per centrum</t>
  </si>
  <si>
    <t>Categorie</t>
  </si>
  <si>
    <t>UZ Leuven</t>
  </si>
  <si>
    <t>UZ Antwerpen</t>
  </si>
  <si>
    <t>UZ Gent</t>
  </si>
  <si>
    <t>AZORG</t>
  </si>
  <si>
    <t>AZ Sint-Jan</t>
  </si>
  <si>
    <t>AZ Groeninge</t>
  </si>
  <si>
    <t>Drukmeetsysteem operationeel, met kalibratietestrun</t>
  </si>
  <si>
    <t>Technologie</t>
  </si>
  <si>
    <t>Minstens twee gecertificeerde zorgverleners</t>
  </si>
  <si>
    <t>Opleiding</t>
  </si>
  <si>
    <t>Databankaccount actief, testlogin geslaagd</t>
  </si>
  <si>
    <t>Data</t>
  </si>
  <si>
    <t>Lokale ethische goedkeuring ontvangen</t>
  </si>
  <si>
    <t>Ethiek</t>
  </si>
  <si>
    <t>Orthotimer-sensoren, lezer en software aanwezig</t>
  </si>
  <si>
    <t>MoveMonitor aanwezig, uitgifte- en retourprotocol bekend</t>
  </si>
  <si>
    <t>Minstens tien sets van het assessment booklet</t>
  </si>
  <si>
    <t>Klinisch</t>
  </si>
  <si>
    <t>Loopruimte van minstens tien meter</t>
  </si>
  <si>
    <t>Infrastructuur</t>
  </si>
  <si>
    <t>Back-upzorgverlener met naam en contact</t>
  </si>
  <si>
    <t>Organisatie</t>
  </si>
  <si>
    <t>Novel Pedar, database en software aanwezig</t>
  </si>
  <si>
    <t>Gedaan, en het bleek meer dan dat: de methodesectie noemde het ontlastingscriterium helemaal niet - 200 kPa en de 25% stonden alleen in de inleiding als beschrijving van de literatuur. Nu staan in de methodesectie de drie doelregio's (vorige ulcusplaats plus de twee voorvoet- of middenvoetregio's boven 200 kPa, hiel niet), de norm met de vergelijking met de meting zonder zool op visite 2 (op 25 september ook zo in het manuscript gezet), en de 5%-stijgingsregel bij opvolging.</t>
  </si>
  <si>
    <t>Gevonden bij het invoegen van het ontlastingscriterium: de sectie Tailoring and fidelity zei dat het ontlastingsdoel tegen de eigen baselinedruk ligt. Rechtgezet naar de meting zonder de zool, conform de beslissing van 11 september; op 22 september gepreciseerd tot de meting zonder zool op visite 2.</t>
  </si>
  <si>
    <t>Pedar als klinisch toestel met trublu-kalibratie; F-Scan GO alleen studieteam; acht regio's; alles in-shoe, zónder én mét de zool gemeten; norm &lt; 200 kPa mét de zool óf ≥ 25% lager dan zonder de zool in dezelfde sessie, tot drie aanpassingen; behaalde reductie als fidelity-maat</t>
  </si>
  <si>
    <t>Alles in-shoe, twee condities: zónder en mét de CMFO. De 25%-reductie rekent tegenover de meting zonder zool in dezelfde sessie, tot drie aanpassingen (beslissing 6 oktober; de vaste referentie van 22 september vervalt). Tabel 4 van het manuscript had het goed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</si>
</sst>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00407A"/>
      <name val="Calibri"/>
    </font>
    <font>
      <i/>
      <sz val="9"/>
      <color rgb="FF4A6880"/>
      <name val="Calibri"/>
    </font>
    <font>
      <b/>
      <sz val="10"/>
      <color rgb="FFFFFFFF"/>
      <name val="Calibri"/>
    </font>
    <font>
      <b/>
      <sz val="10"/>
      <color rgb="FF00407A"/>
      <name val="Calibri"/>
    </font>
    <font>
      <sz val="10"/>
      <name val="Calibri"/>
    </font>
    <font>
      <b/>
      <sz val="18"/>
      <color rgb="FF00407A"/>
      <name val="Calibri"/>
    </font>
    <font>
      <sz val="10"/>
      <color rgb="FF4A6880"/>
      <name val="Calibri"/>
    </font>
    <font>
      <b/>
      <sz val="10"/>
      <name val="Calibri"/>
    </font>
    <font>
      <u/>
      <sz val="11"/>
      <color theme="10"/>
      <name val="Calibri"/>
      <family val="2"/>
      <scheme val="minor"/>
    </font>
    <font>
      <b/>
      <sz val="10"/>
      <color rgb="FF00407A"/>
      <name val="Calibri"/>
    </font>
  </fonts>
  <fills count="4">
    <fill>
      <patternFill patternType="none"/>
    </fill>
    <fill>
      <patternFill patternType="gray125"/>
    </fill>
    <fill>
      <patternFill patternType="solid">
        <fgColor rgb="FF1D8DB0"/>
      </patternFill>
    </fill>
    <fill>
      <patternFill patternType="solid">
        <fgColor rgb="FFEBF4FB"/>
      </patternFill>
    </fill>
  </fills>
  <borders count="6">
    <border>
      <left/>
      <right/>
      <top/>
      <bottom/>
      <diagonal/>
    </border>
    <border>
      <left style="thin">
        <color rgb="FFC8DFF0"/>
      </left>
      <right style="thin">
        <color rgb="FFC8DFF0"/>
      </right>
      <top style="thin">
        <color rgb="FFC8DFF0"/>
      </top>
      <bottom style="thin">
        <color rgb="FFC8DFF0"/>
      </bottom>
      <diagonal/>
    </border>
    <border>
      <left style="thin">
        <color rgb="FFC8DFF0"/>
      </left>
      <right style="thin">
        <color rgb="FFC8DFF0"/>
      </right>
      <top/>
      <bottom/>
      <diagonal/>
    </border>
    <border>
      <left/>
      <right/>
      <top style="thin">
        <color rgb="FFC8DFF0"/>
      </top>
      <bottom style="thin">
        <color rgb="FFC8DFF0"/>
      </bottom>
      <diagonal/>
    </border>
    <border>
      <left/>
      <right style="thin">
        <color rgb="FFC8DFF0"/>
      </right>
      <top style="thin">
        <color rgb="FFC8DFF0"/>
      </top>
      <bottom style="thin">
        <color rgb="FFC8DFF0"/>
      </bottom>
      <diagonal/>
    </border>
    <border>
      <left style="thin">
        <color rgb="FFC8DFF0"/>
      </left>
      <right style="thin">
        <color rgb="FFC8DFF0"/>
      </right>
      <top style="thin">
        <color rgb="FFC8DFF0"/>
      </top>
      <bottom style="thin">
        <color rgb="FFC8DFF0"/>
      </bottom>
      <diagonal/>
    </border>
  </borders>
  <cellStyleXfs count="2">
    <xf numFmtId="0" fontId="0" fillId="0" borderId="0"/>
    <xf numFmtId="0" fontId="9" fillId="0" borderId="0"/>
  </cellStyleXfs>
  <cellXfs count="26">
    <xf numFmtId="0" fontId="0" fillId="0" borderId="0" xfId="0"/>
    <xf numFmtId="0" fontId="6" fillId="0" borderId="0" xfId="0" applyFont="1"/>
    <xf numFmtId="0" fontId="2" fillId="0" borderId="0" xfId="0" applyFont="1"/>
    <xf numFmtId="0" fontId="3" fillId="2" borderId="1" xfId="0" applyFont="1" applyFill="1" applyBorder="1" applyAlignment="1">
      <alignment horizontal="center" vertical="center"/>
    </xf>
    <xf numFmtId="0" fontId="8" fillId="0" borderId="1" xfId="0" applyFont="1" applyBorder="1"/>
    <xf numFmtId="0" fontId="0" fillId="0" borderId="1" xfId="0" applyBorder="1" applyAlignment="1">
      <alignment horizontal="center"/>
    </xf>
    <xf numFmtId="0" fontId="8" fillId="3" borderId="1" xfId="0" applyFont="1" applyFill="1" applyBorder="1"/>
    <xf numFmtId="0" fontId="8" fillId="3" borderId="1" xfId="0" applyFont="1" applyFill="1" applyBorder="1" applyAlignment="1">
      <alignment horizontal="center"/>
    </xf>
    <xf numFmtId="0" fontId="3" fillId="2" borderId="1" xfId="0" applyFont="1" applyFill="1" applyBorder="1" applyAlignment="1">
      <alignment vertical="center" wrapText="1"/>
    </xf>
    <xf numFmtId="0" fontId="5" fillId="0" borderId="1" xfId="0" applyFont="1" applyBorder="1" applyAlignment="1">
      <alignment vertical="top"/>
    </xf>
    <xf numFmtId="0" fontId="5" fillId="0" borderId="1" xfId="0" applyFont="1" applyBorder="1" applyAlignment="1">
      <alignment vertical="top" wrapText="1"/>
    </xf>
    <xf numFmtId="0" fontId="4" fillId="0" borderId="0" xfId="0" applyFont="1"/>
    <xf numFmtId="0" fontId="5" fillId="0" borderId="2" xfId="0" applyFont="1" applyBorder="1" applyAlignment="1">
      <alignment vertical="top"/>
    </xf>
    <xf numFmtId="0" fontId="9" fillId="0" borderId="0" xfId="1" applyAlignment="1">
      <alignment wrapText="1"/>
    </xf>
    <xf numFmtId="0" fontId="0" fillId="0" borderId="3" xfId="0" applyBorder="1"/>
    <xf numFmtId="0" fontId="0" fillId="0" borderId="4" xfId="0" applyBorder="1"/>
    <xf numFmtId="0" fontId="5" fillId="0" borderId="5" xfId="0" applyFont="1" applyBorder="1" applyAlignment="1">
      <alignment vertical="top"/>
    </xf>
    <xf numFmtId="0" fontId="5" fillId="0" borderId="5" xfId="0" applyFont="1" applyBorder="1" applyAlignment="1">
      <alignment vertical="top" wrapText="1"/>
    </xf>
    <xf numFmtId="0" fontId="10" fillId="0" borderId="0" xfId="0" applyFont="1"/>
    <xf numFmtId="0" fontId="2" fillId="0" borderId="0" xfId="0" applyFont="1"/>
    <xf numFmtId="0" fontId="0" fillId="0" borderId="0" xfId="0"/>
    <xf numFmtId="0" fontId="1" fillId="0" borderId="0" xfId="0" applyFont="1"/>
    <xf numFmtId="0" fontId="7" fillId="0" borderId="0" xfId="0" applyFont="1"/>
    <xf numFmtId="0" fontId="4" fillId="3" borderId="1" xfId="0" applyFont="1" applyFill="1" applyBorder="1"/>
    <xf numFmtId="0" fontId="0" fillId="0" borderId="3" xfId="0" applyBorder="1"/>
    <xf numFmtId="0" fontId="0" fillId="0" borderId="4" xfId="0" applyBorder="1"/>
  </cellXfs>
  <cellStyles count="2">
    <cellStyle name="Hyperlink" xfId="1" builtinId="8"/>
    <cellStyle name="Standaard" xfId="0" builtinId="0"/>
  </cellStyles>
  <dxfs count="18">
    <dxf>
      <font>
        <i/>
        <color rgb="FF7A8A99"/>
      </font>
      <fill>
        <patternFill patternType="solid">
          <fgColor rgb="FFEDEFF1"/>
        </patternFill>
      </fill>
    </dxf>
    <dxf>
      <font>
        <b/>
        <color rgb="FFA02A1A"/>
      </font>
      <fill>
        <patternFill patternType="solid">
          <fgColor rgb="FFFBDDD8"/>
        </patternFill>
      </fill>
    </dxf>
    <dxf>
      <font>
        <color rgb="FF8A5000"/>
      </font>
      <fill>
        <patternFill patternType="solid">
          <fgColor rgb="FFFFF0D6"/>
        </patternFill>
      </fill>
    </dxf>
    <dxf>
      <font>
        <b/>
        <color rgb="FF1E6B32"/>
      </font>
      <fill>
        <patternFill patternType="solid">
          <fgColor rgb="FFD6EEDB"/>
        </patternFill>
      </fill>
    </dxf>
    <dxf>
      <font>
        <i/>
        <color rgb="FF7A8A99"/>
      </font>
      <fill>
        <patternFill patternType="solid">
          <fgColor rgb="FFEDEFF1"/>
        </patternFill>
      </fill>
    </dxf>
    <dxf>
      <font>
        <b/>
        <color rgb="FFA02A1A"/>
      </font>
      <fill>
        <patternFill patternType="solid">
          <fgColor rgb="FFFBDDD8"/>
        </patternFill>
      </fill>
    </dxf>
    <dxf>
      <font>
        <color rgb="FF8A5000"/>
      </font>
      <fill>
        <patternFill patternType="solid">
          <fgColor rgb="FFFFF0D6"/>
        </patternFill>
      </fill>
    </dxf>
    <dxf>
      <font>
        <b/>
        <color rgb="FF1E6B32"/>
      </font>
      <fill>
        <patternFill patternType="solid">
          <fgColor rgb="FFD6EEDB"/>
        </patternFill>
      </fill>
    </dxf>
    <dxf>
      <font>
        <color rgb="FFA02A1A"/>
      </font>
      <fill>
        <patternFill patternType="solid">
          <fgColor rgb="FFFBDDD8"/>
        </patternFill>
      </fill>
    </dxf>
    <dxf>
      <font>
        <b/>
        <color rgb="FF1E6B32"/>
      </font>
      <fill>
        <patternFill patternType="solid">
          <fgColor rgb="FFD6EEDB"/>
        </patternFill>
      </fill>
    </dxf>
    <dxf>
      <font>
        <i/>
        <color rgb="FF7A8A99"/>
      </font>
      <fill>
        <patternFill patternType="solid">
          <fgColor rgb="FFEDEFF1"/>
        </patternFill>
      </fill>
    </dxf>
    <dxf>
      <font>
        <b/>
        <color rgb="FFA02A1A"/>
      </font>
      <fill>
        <patternFill patternType="solid">
          <fgColor rgb="FFFBDDD8"/>
        </patternFill>
      </fill>
    </dxf>
    <dxf>
      <font>
        <color rgb="FF8A5000"/>
      </font>
      <fill>
        <patternFill patternType="solid">
          <fgColor rgb="FFFFF0D6"/>
        </patternFill>
      </fill>
    </dxf>
    <dxf>
      <font>
        <b/>
        <color rgb="FF1E6B32"/>
      </font>
      <fill>
        <patternFill patternType="solid">
          <fgColor rgb="FFD6EEDB"/>
        </patternFill>
      </fill>
    </dxf>
    <dxf>
      <font>
        <i/>
        <color rgb="FF7A8A99"/>
      </font>
      <fill>
        <patternFill patternType="solid">
          <fgColor rgb="FFEDEFF1"/>
        </patternFill>
      </fill>
    </dxf>
    <dxf>
      <font>
        <b/>
        <color rgb="FFA02A1A"/>
      </font>
      <fill>
        <patternFill patternType="solid">
          <fgColor rgb="FFFBDDD8"/>
        </patternFill>
      </fill>
    </dxf>
    <dxf>
      <font>
        <color rgb="FF8A5000"/>
      </font>
      <fill>
        <patternFill patternType="solid">
          <fgColor rgb="FFFFF0D6"/>
        </patternFill>
      </fill>
    </dxf>
    <dxf>
      <font>
        <b/>
        <color rgb="FF1E6B32"/>
      </font>
      <fill>
        <patternFill patternType="solid">
          <fgColor rgb="FFD6EEDB"/>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euroqol.org/register/?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workbookViewId="0">
      <selection activeCell="G26" sqref="G26"/>
    </sheetView>
  </sheetViews>
  <sheetFormatPr defaultRowHeight="14.5" x14ac:dyDescent="0.35"/>
  <cols>
    <col min="1" max="1" width="26" customWidth="1"/>
    <col min="2" max="5" width="10" customWidth="1"/>
    <col min="6" max="6" width="13" customWidth="1"/>
    <col min="7" max="7" width="10" customWidth="1"/>
    <col min="8" max="8" width="11" customWidth="1"/>
  </cols>
  <sheetData>
    <row r="1" spans="1:8" ht="23.25" customHeight="1" x14ac:dyDescent="0.55000000000000004">
      <c r="A1" s="1" t="s">
        <v>37</v>
      </c>
    </row>
    <row r="2" spans="1:8" x14ac:dyDescent="0.35">
      <c r="A2" s="2"/>
    </row>
    <row r="4" spans="1:8" x14ac:dyDescent="0.35">
      <c r="A4" s="22"/>
      <c r="B4" s="20"/>
      <c r="C4" s="20"/>
      <c r="D4" s="20"/>
      <c r="E4" s="20"/>
      <c r="F4" s="20"/>
    </row>
    <row r="6" spans="1:8" x14ac:dyDescent="0.35">
      <c r="A6" s="3" t="s">
        <v>38</v>
      </c>
      <c r="B6" s="3" t="s">
        <v>39</v>
      </c>
      <c r="C6" s="3" t="s">
        <v>14</v>
      </c>
      <c r="D6" s="3" t="s">
        <v>40</v>
      </c>
      <c r="E6" s="3" t="s">
        <v>41</v>
      </c>
      <c r="F6" s="3" t="s">
        <v>42</v>
      </c>
      <c r="G6" s="3" t="s">
        <v>43</v>
      </c>
      <c r="H6" s="3" t="s">
        <v>44</v>
      </c>
    </row>
    <row r="7" spans="1:8" x14ac:dyDescent="0.35">
      <c r="A7" s="4" t="s">
        <v>45</v>
      </c>
      <c r="B7" s="5">
        <f>COUNTA(Taken!$H$5:$H$79)</f>
        <v>66</v>
      </c>
      <c r="C7" s="5">
        <f>COUNTIF(Taken!$H$5:$H$79,"Te doen")</f>
        <v>55</v>
      </c>
      <c r="D7" s="5">
        <f>COUNTIF(Taken!$H$5:$H$79,"Bezig")</f>
        <v>2</v>
      </c>
      <c r="E7" s="5">
        <f>COUNTIF(Taken!$H$5:$H$79,"Klaar")</f>
        <v>9</v>
      </c>
      <c r="F7" s="5">
        <f>COUNTIF(Taken!$H$5:$H$79,"Geblokkeerd")</f>
        <v>0</v>
      </c>
      <c r="G7" s="5">
        <f>COUNTIF(Taken!$H$5:$H$79,"Vervalt")</f>
        <v>0</v>
      </c>
      <c r="H7" s="5">
        <f>IF(B7=0,"",ROUND(E7/B7*100,0))</f>
        <v>14</v>
      </c>
    </row>
    <row r="8" spans="1:8" x14ac:dyDescent="0.35">
      <c r="A8" s="4" t="s">
        <v>46</v>
      </c>
      <c r="B8" s="5">
        <f>COUNTA('Openstaande punten'!$F$5:$F$37)</f>
        <v>27</v>
      </c>
      <c r="C8" s="5">
        <f>COUNTIF('Openstaande punten'!$F$5:$F$37,"Te doen")</f>
        <v>5</v>
      </c>
      <c r="D8" s="5">
        <f>COUNTIF('Openstaande punten'!$F$5:$F$37,"Bezig")</f>
        <v>3</v>
      </c>
      <c r="E8" s="5">
        <f>COUNTIF('Openstaande punten'!$F$5:$F$37,"Klaar")</f>
        <v>16</v>
      </c>
      <c r="F8" s="5">
        <f>COUNTIF('Openstaande punten'!$F$5:$F$37,"Geblokkeerd")</f>
        <v>0</v>
      </c>
      <c r="G8" s="5">
        <f>COUNTIF('Openstaande punten'!$F$5:$F$37,"Vervalt")</f>
        <v>3</v>
      </c>
      <c r="H8" s="5">
        <f>IF(B8=0,"",ROUND(E8/B8*100,0))</f>
        <v>59</v>
      </c>
    </row>
    <row r="9" spans="1:8" x14ac:dyDescent="0.35">
      <c r="A9" s="4" t="s">
        <v>47</v>
      </c>
      <c r="B9" s="5">
        <f>COUNTA('Go-NoGo'!$E$5:$E$12)</f>
        <v>7</v>
      </c>
      <c r="C9" s="5">
        <f>COUNTIF('Go-NoGo'!$E$5:$E$12,"Te doen")</f>
        <v>6</v>
      </c>
      <c r="D9" s="5">
        <f>COUNTIF('Go-NoGo'!$E$5:$E$12,"Bezig")</f>
        <v>1</v>
      </c>
      <c r="E9" s="5">
        <f>COUNTIF('Go-NoGo'!$E$5:$E$12,"Klaar")</f>
        <v>0</v>
      </c>
      <c r="F9" s="5">
        <f>COUNTIF('Go-NoGo'!$E$5:$E$12,"Geblokkeerd")</f>
        <v>0</v>
      </c>
      <c r="G9" s="5">
        <f>COUNTIF('Go-NoGo'!$E$5:$E$12,"Vervalt")</f>
        <v>0</v>
      </c>
      <c r="H9" s="5">
        <f>IF(B9=0,"",ROUND(E9/B9*100,0))</f>
        <v>0</v>
      </c>
    </row>
    <row r="10" spans="1:8" x14ac:dyDescent="0.35">
      <c r="A10" s="4" t="s">
        <v>0</v>
      </c>
      <c r="B10" s="5">
        <f>COUNTA(Mijlpalen!$F$5:$F$11)</f>
        <v>7</v>
      </c>
      <c r="C10" s="5">
        <f>COUNTIF(Mijlpalen!$F$5:$F$11,"Te doen")</f>
        <v>7</v>
      </c>
      <c r="D10" s="5">
        <f>COUNTIF(Mijlpalen!$F$5:$F$11,"Bezig")</f>
        <v>0</v>
      </c>
      <c r="E10" s="5">
        <f>COUNTIF(Mijlpalen!$F$5:$F$11,"Klaar")</f>
        <v>0</v>
      </c>
      <c r="F10" s="5">
        <f>COUNTIF(Mijlpalen!$F$5:$F$11,"Geblokkeerd")</f>
        <v>0</v>
      </c>
      <c r="G10" s="5">
        <f>COUNTIF(Mijlpalen!$F$5:$F$11,"Vervalt")</f>
        <v>0</v>
      </c>
      <c r="H10" s="5">
        <f>IF(B10=0,"",ROUND(E10/B10*100,0))</f>
        <v>0</v>
      </c>
    </row>
    <row r="11" spans="1:8" x14ac:dyDescent="0.35">
      <c r="A11" s="6" t="s">
        <v>48</v>
      </c>
      <c r="B11" s="7">
        <f t="shared" ref="B11:G11" si="0">SUM(B7:B10)</f>
        <v>107</v>
      </c>
      <c r="C11" s="7">
        <f t="shared" si="0"/>
        <v>73</v>
      </c>
      <c r="D11" s="7">
        <f t="shared" si="0"/>
        <v>6</v>
      </c>
      <c r="E11" s="7">
        <f t="shared" si="0"/>
        <v>25</v>
      </c>
      <c r="F11" s="7">
        <f t="shared" si="0"/>
        <v>0</v>
      </c>
      <c r="G11" s="7">
        <f t="shared" si="0"/>
        <v>3</v>
      </c>
      <c r="H11" s="7">
        <f>IF(B11=0,"",ROUND(E11/B11*100,0))</f>
        <v>23</v>
      </c>
    </row>
    <row r="12" spans="1:8" x14ac:dyDescent="0.35">
      <c r="A12" s="2" t="s">
        <v>49</v>
      </c>
    </row>
    <row r="15" spans="1:8" x14ac:dyDescent="0.35">
      <c r="A15" s="2"/>
    </row>
  </sheetData>
  <mergeCells count="1">
    <mergeCell ref="A4:F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79"/>
  <sheetViews>
    <sheetView workbookViewId="0">
      <pane ySplit="4" topLeftCell="A71" activePane="bottomLeft" state="frozen"/>
      <selection pane="bottomLeft" activeCell="C30" sqref="C30"/>
    </sheetView>
  </sheetViews>
  <sheetFormatPr defaultRowHeight="14.5" x14ac:dyDescent="0.35"/>
  <cols>
    <col min="1" max="1" width="7" customWidth="1"/>
    <col min="2" max="2" width="26" customWidth="1"/>
    <col min="3" max="3" width="62" customWidth="1"/>
    <col min="4" max="4" width="10" customWidth="1"/>
    <col min="5" max="5" width="16" customWidth="1"/>
    <col min="6" max="6" width="11" customWidth="1"/>
    <col min="7" max="7" width="20" customWidth="1"/>
    <col min="8" max="8" width="13" customWidth="1"/>
    <col min="9" max="9" width="26" customWidth="1"/>
  </cols>
  <sheetData>
    <row r="1" spans="1:9" ht="18.75" customHeight="1" x14ac:dyDescent="0.45">
      <c r="A1" s="21" t="s">
        <v>50</v>
      </c>
      <c r="B1" s="20"/>
      <c r="C1" s="20"/>
      <c r="D1" s="20"/>
      <c r="E1" s="20"/>
      <c r="F1" s="20"/>
      <c r="G1" s="20"/>
      <c r="H1" s="20"/>
      <c r="I1" s="20"/>
    </row>
    <row r="2" spans="1:9" x14ac:dyDescent="0.35">
      <c r="A2" s="19" t="s">
        <v>51</v>
      </c>
      <c r="B2" s="20"/>
      <c r="C2" s="20"/>
      <c r="D2" s="20"/>
      <c r="E2" s="20"/>
      <c r="F2" s="20"/>
      <c r="G2" s="20"/>
      <c r="H2" s="20"/>
      <c r="I2" s="20"/>
    </row>
    <row r="4" spans="1:9" ht="26.15" customHeight="1" x14ac:dyDescent="0.35">
      <c r="A4" s="8" t="s">
        <v>52</v>
      </c>
      <c r="B4" s="8" t="s">
        <v>53</v>
      </c>
      <c r="C4" s="8" t="s">
        <v>54</v>
      </c>
      <c r="D4" s="8" t="s">
        <v>55</v>
      </c>
      <c r="E4" s="8" t="s">
        <v>56</v>
      </c>
      <c r="F4" s="8" t="s">
        <v>57</v>
      </c>
      <c r="G4" s="8" t="s">
        <v>58</v>
      </c>
      <c r="H4" s="8" t="s">
        <v>7</v>
      </c>
      <c r="I4" s="8" t="s">
        <v>8</v>
      </c>
    </row>
    <row r="5" spans="1:9" x14ac:dyDescent="0.35">
      <c r="A5" s="23" t="s">
        <v>59</v>
      </c>
      <c r="B5" s="24"/>
      <c r="C5" s="24"/>
      <c r="D5" s="24"/>
      <c r="E5" s="24"/>
      <c r="F5" s="24"/>
      <c r="G5" s="24"/>
      <c r="H5" s="24"/>
      <c r="I5" s="25"/>
    </row>
    <row r="6" spans="1:9" ht="38.25" customHeight="1" x14ac:dyDescent="0.35">
      <c r="A6" s="9" t="s">
        <v>60</v>
      </c>
      <c r="B6" s="10" t="s">
        <v>61</v>
      </c>
      <c r="C6" s="10" t="s">
        <v>62</v>
      </c>
      <c r="D6" s="10" t="s">
        <v>63</v>
      </c>
      <c r="E6" s="10" t="s">
        <v>64</v>
      </c>
      <c r="F6" s="10" t="s">
        <v>65</v>
      </c>
      <c r="G6" s="10" t="s">
        <v>66</v>
      </c>
      <c r="H6" s="10" t="s">
        <v>40</v>
      </c>
      <c r="I6" s="10" t="s">
        <v>67</v>
      </c>
    </row>
    <row r="7" spans="1:9" ht="25.5" customHeight="1" x14ac:dyDescent="0.35">
      <c r="A7" s="9" t="s">
        <v>68</v>
      </c>
      <c r="B7" s="10" t="s">
        <v>69</v>
      </c>
      <c r="C7" s="10" t="s">
        <v>70</v>
      </c>
      <c r="D7" s="10" t="s">
        <v>63</v>
      </c>
      <c r="E7" s="10" t="s">
        <v>64</v>
      </c>
      <c r="F7" s="10" t="s">
        <v>65</v>
      </c>
      <c r="G7" s="10" t="s">
        <v>71</v>
      </c>
      <c r="H7" s="10" t="s">
        <v>41</v>
      </c>
      <c r="I7" s="10" t="s">
        <v>72</v>
      </c>
    </row>
    <row r="8" spans="1:9" ht="25.5" customHeight="1" x14ac:dyDescent="0.35">
      <c r="A8" s="9" t="s">
        <v>73</v>
      </c>
      <c r="B8" s="10" t="s">
        <v>74</v>
      </c>
      <c r="C8" s="10" t="s">
        <v>75</v>
      </c>
      <c r="D8" s="10" t="s">
        <v>63</v>
      </c>
      <c r="E8" s="10" t="s">
        <v>64</v>
      </c>
      <c r="F8" s="10" t="s">
        <v>65</v>
      </c>
      <c r="G8" s="10" t="s">
        <v>76</v>
      </c>
      <c r="H8" s="10" t="s">
        <v>14</v>
      </c>
      <c r="I8" s="10" t="s">
        <v>77</v>
      </c>
    </row>
    <row r="9" spans="1:9" ht="25.5" customHeight="1" x14ac:dyDescent="0.35">
      <c r="A9" s="9" t="s">
        <v>78</v>
      </c>
      <c r="B9" s="10" t="s">
        <v>79</v>
      </c>
      <c r="C9" s="10" t="s">
        <v>80</v>
      </c>
      <c r="D9" s="10" t="s">
        <v>81</v>
      </c>
      <c r="E9" s="10" t="s">
        <v>82</v>
      </c>
      <c r="F9" s="10" t="s">
        <v>65</v>
      </c>
      <c r="G9" s="10" t="s">
        <v>71</v>
      </c>
      <c r="H9" s="10" t="s">
        <v>41</v>
      </c>
      <c r="I9" s="10"/>
    </row>
    <row r="10" spans="1:9" ht="25.5" customHeight="1" x14ac:dyDescent="0.35">
      <c r="A10" s="9" t="s">
        <v>83</v>
      </c>
      <c r="B10" s="10" t="s">
        <v>84</v>
      </c>
      <c r="C10" s="10" t="s">
        <v>85</v>
      </c>
      <c r="D10" s="10" t="s">
        <v>63</v>
      </c>
      <c r="E10" s="10" t="s">
        <v>64</v>
      </c>
      <c r="F10" s="10" t="s">
        <v>65</v>
      </c>
      <c r="G10" s="10" t="s">
        <v>86</v>
      </c>
      <c r="H10" s="10" t="s">
        <v>14</v>
      </c>
      <c r="I10" s="10" t="s">
        <v>87</v>
      </c>
    </row>
    <row r="11" spans="1:9" x14ac:dyDescent="0.35">
      <c r="A11" s="9" t="s">
        <v>88</v>
      </c>
      <c r="B11" s="10" t="s">
        <v>89</v>
      </c>
      <c r="C11" s="10" t="s">
        <v>90</v>
      </c>
      <c r="D11" s="10" t="s">
        <v>91</v>
      </c>
      <c r="E11" s="10" t="s">
        <v>92</v>
      </c>
      <c r="F11" s="10" t="s">
        <v>65</v>
      </c>
      <c r="G11" s="10" t="s">
        <v>93</v>
      </c>
      <c r="H11" s="10" t="s">
        <v>40</v>
      </c>
      <c r="I11" s="10"/>
    </row>
    <row r="12" spans="1:9" x14ac:dyDescent="0.35">
      <c r="A12" s="9" t="s">
        <v>94</v>
      </c>
      <c r="B12" s="10" t="s">
        <v>95</v>
      </c>
      <c r="C12" s="10" t="s">
        <v>96</v>
      </c>
      <c r="D12" s="10" t="s">
        <v>91</v>
      </c>
      <c r="E12" s="10" t="s">
        <v>92</v>
      </c>
      <c r="F12" s="10" t="s">
        <v>65</v>
      </c>
      <c r="G12" s="10" t="s">
        <v>97</v>
      </c>
      <c r="H12" s="10" t="s">
        <v>41</v>
      </c>
      <c r="I12" s="10"/>
    </row>
    <row r="13" spans="1:9" x14ac:dyDescent="0.35">
      <c r="A13" s="9" t="s">
        <v>98</v>
      </c>
      <c r="B13" s="10" t="s">
        <v>99</v>
      </c>
      <c r="C13" s="10" t="s">
        <v>100</v>
      </c>
      <c r="D13" s="10" t="s">
        <v>91</v>
      </c>
      <c r="E13" s="10" t="s">
        <v>92</v>
      </c>
      <c r="F13" s="10" t="s">
        <v>65</v>
      </c>
      <c r="G13" s="10" t="s">
        <v>101</v>
      </c>
      <c r="H13" s="10" t="s">
        <v>41</v>
      </c>
      <c r="I13" s="10"/>
    </row>
    <row r="14" spans="1:9" ht="25.5" customHeight="1" x14ac:dyDescent="0.35">
      <c r="A14" s="9" t="s">
        <v>102</v>
      </c>
      <c r="B14" s="10" t="s">
        <v>103</v>
      </c>
      <c r="C14" s="10" t="s">
        <v>104</v>
      </c>
      <c r="D14" s="10" t="s">
        <v>105</v>
      </c>
      <c r="E14" s="10" t="s">
        <v>106</v>
      </c>
      <c r="F14" s="10" t="s">
        <v>65</v>
      </c>
      <c r="G14" s="10" t="s">
        <v>71</v>
      </c>
      <c r="H14" s="10" t="s">
        <v>14</v>
      </c>
      <c r="I14" s="10" t="s">
        <v>107</v>
      </c>
    </row>
    <row r="15" spans="1:9" x14ac:dyDescent="0.35">
      <c r="A15" s="9" t="s">
        <v>108</v>
      </c>
      <c r="B15" s="10" t="s">
        <v>109</v>
      </c>
      <c r="C15" s="10" t="s">
        <v>110</v>
      </c>
      <c r="D15" s="10" t="s">
        <v>111</v>
      </c>
      <c r="E15" s="10" t="s">
        <v>112</v>
      </c>
      <c r="F15" s="10" t="s">
        <v>65</v>
      </c>
      <c r="G15" s="10" t="s">
        <v>113</v>
      </c>
      <c r="H15" s="10" t="s">
        <v>41</v>
      </c>
      <c r="I15" s="10"/>
    </row>
    <row r="16" spans="1:9" x14ac:dyDescent="0.35">
      <c r="A16" s="9" t="s">
        <v>114</v>
      </c>
      <c r="B16" s="10" t="s">
        <v>115</v>
      </c>
      <c r="C16" s="10" t="s">
        <v>116</v>
      </c>
      <c r="D16" s="10" t="s">
        <v>105</v>
      </c>
      <c r="E16" s="10" t="s">
        <v>106</v>
      </c>
      <c r="F16" s="10" t="s">
        <v>65</v>
      </c>
      <c r="G16" s="10" t="s">
        <v>71</v>
      </c>
      <c r="H16" s="10" t="s">
        <v>14</v>
      </c>
      <c r="I16" s="10" t="s">
        <v>117</v>
      </c>
    </row>
    <row r="17" spans="1:9" x14ac:dyDescent="0.35">
      <c r="A17" s="23" t="s">
        <v>118</v>
      </c>
      <c r="B17" s="24"/>
      <c r="C17" s="24"/>
      <c r="D17" s="24"/>
      <c r="E17" s="24"/>
      <c r="F17" s="24"/>
      <c r="G17" s="24"/>
      <c r="H17" s="24"/>
      <c r="I17" s="25"/>
    </row>
    <row r="18" spans="1:9" ht="75" customHeight="1" x14ac:dyDescent="0.35">
      <c r="A18" s="9" t="s">
        <v>119</v>
      </c>
      <c r="B18" s="10" t="s">
        <v>120</v>
      </c>
      <c r="C18" s="10" t="s">
        <v>121</v>
      </c>
      <c r="D18" s="10" t="s">
        <v>63</v>
      </c>
      <c r="E18" s="10" t="s">
        <v>64</v>
      </c>
      <c r="F18" s="10" t="s">
        <v>122</v>
      </c>
      <c r="G18" s="10" t="s">
        <v>71</v>
      </c>
      <c r="H18" s="10" t="s">
        <v>14</v>
      </c>
      <c r="I18" s="13" t="s">
        <v>123</v>
      </c>
    </row>
    <row r="19" spans="1:9" ht="25.5" customHeight="1" x14ac:dyDescent="0.35">
      <c r="A19" s="9" t="s">
        <v>124</v>
      </c>
      <c r="B19" s="10" t="s">
        <v>125</v>
      </c>
      <c r="C19" s="10" t="s">
        <v>126</v>
      </c>
      <c r="D19" s="10" t="s">
        <v>127</v>
      </c>
      <c r="E19" s="10" t="s">
        <v>128</v>
      </c>
      <c r="F19" s="10" t="s">
        <v>122</v>
      </c>
      <c r="G19" s="10" t="s">
        <v>129</v>
      </c>
      <c r="H19" s="10" t="s">
        <v>14</v>
      </c>
      <c r="I19" s="10"/>
    </row>
    <row r="20" spans="1:9" x14ac:dyDescent="0.35">
      <c r="A20" s="9" t="s">
        <v>130</v>
      </c>
      <c r="B20" s="10" t="s">
        <v>131</v>
      </c>
      <c r="C20" s="10" t="s">
        <v>132</v>
      </c>
      <c r="D20" s="10" t="s">
        <v>127</v>
      </c>
      <c r="E20" s="10" t="s">
        <v>128</v>
      </c>
      <c r="F20" s="10" t="s">
        <v>122</v>
      </c>
      <c r="G20" s="10" t="s">
        <v>71</v>
      </c>
      <c r="H20" s="10" t="s">
        <v>41</v>
      </c>
      <c r="I20" s="10" t="s">
        <v>133</v>
      </c>
    </row>
    <row r="21" spans="1:9" x14ac:dyDescent="0.35">
      <c r="A21" s="9" t="s">
        <v>134</v>
      </c>
      <c r="B21" s="10" t="s">
        <v>135</v>
      </c>
      <c r="C21" s="10" t="s">
        <v>136</v>
      </c>
      <c r="D21" s="10" t="s">
        <v>127</v>
      </c>
      <c r="E21" s="10" t="s">
        <v>128</v>
      </c>
      <c r="F21" s="10" t="s">
        <v>122</v>
      </c>
      <c r="G21" s="10" t="s">
        <v>71</v>
      </c>
      <c r="H21" s="10" t="s">
        <v>14</v>
      </c>
      <c r="I21" s="10"/>
    </row>
    <row r="22" spans="1:9" x14ac:dyDescent="0.35">
      <c r="A22" s="9" t="s">
        <v>137</v>
      </c>
      <c r="B22" s="10" t="s">
        <v>138</v>
      </c>
      <c r="C22" s="10" t="s">
        <v>139</v>
      </c>
      <c r="D22" s="10" t="s">
        <v>127</v>
      </c>
      <c r="E22" s="10" t="s">
        <v>128</v>
      </c>
      <c r="F22" s="10" t="s">
        <v>122</v>
      </c>
      <c r="G22" s="10" t="s">
        <v>71</v>
      </c>
      <c r="H22" s="10" t="s">
        <v>41</v>
      </c>
      <c r="I22" s="10"/>
    </row>
    <row r="23" spans="1:9" ht="25.5" customHeight="1" x14ac:dyDescent="0.35">
      <c r="A23" s="9" t="s">
        <v>140</v>
      </c>
      <c r="B23" s="10" t="s">
        <v>141</v>
      </c>
      <c r="C23" s="10" t="s">
        <v>142</v>
      </c>
      <c r="D23" s="10" t="s">
        <v>127</v>
      </c>
      <c r="E23" s="10" t="s">
        <v>128</v>
      </c>
      <c r="F23" s="10" t="s">
        <v>122</v>
      </c>
      <c r="G23" s="10" t="s">
        <v>71</v>
      </c>
      <c r="H23" s="10" t="s">
        <v>14</v>
      </c>
      <c r="I23" s="10"/>
    </row>
    <row r="24" spans="1:9" x14ac:dyDescent="0.35">
      <c r="A24" s="9" t="s">
        <v>143</v>
      </c>
      <c r="B24" s="10" t="s">
        <v>144</v>
      </c>
      <c r="C24" s="10" t="s">
        <v>145</v>
      </c>
      <c r="D24" s="10" t="s">
        <v>146</v>
      </c>
      <c r="E24" s="10" t="s">
        <v>147</v>
      </c>
      <c r="F24" s="10" t="s">
        <v>122</v>
      </c>
      <c r="G24" s="10" t="s">
        <v>148</v>
      </c>
      <c r="H24" s="10" t="s">
        <v>14</v>
      </c>
      <c r="I24" s="10"/>
    </row>
    <row r="25" spans="1:9" ht="25.5" customHeight="1" x14ac:dyDescent="0.35">
      <c r="A25" s="9" t="s">
        <v>149</v>
      </c>
      <c r="B25" s="10" t="s">
        <v>150</v>
      </c>
      <c r="C25" s="10" t="s">
        <v>151</v>
      </c>
      <c r="D25" s="10" t="s">
        <v>146</v>
      </c>
      <c r="E25" s="10" t="s">
        <v>147</v>
      </c>
      <c r="F25" s="10" t="s">
        <v>122</v>
      </c>
      <c r="G25" s="10" t="s">
        <v>152</v>
      </c>
      <c r="H25" s="10" t="s">
        <v>14</v>
      </c>
      <c r="I25" s="10" t="s">
        <v>153</v>
      </c>
    </row>
    <row r="26" spans="1:9" x14ac:dyDescent="0.35">
      <c r="A26" s="23" t="s">
        <v>154</v>
      </c>
      <c r="B26" s="24"/>
      <c r="C26" s="24"/>
      <c r="D26" s="24"/>
      <c r="E26" s="24"/>
      <c r="F26" s="24"/>
      <c r="G26" s="24"/>
      <c r="H26" s="24"/>
      <c r="I26" s="25"/>
    </row>
    <row r="27" spans="1:9" ht="25.5" customHeight="1" x14ac:dyDescent="0.35">
      <c r="A27" s="9" t="s">
        <v>155</v>
      </c>
      <c r="B27" s="10" t="s">
        <v>156</v>
      </c>
      <c r="C27" s="10" t="s">
        <v>157</v>
      </c>
      <c r="D27" s="10" t="s">
        <v>105</v>
      </c>
      <c r="E27" s="10" t="s">
        <v>106</v>
      </c>
      <c r="F27" s="10" t="s">
        <v>158</v>
      </c>
      <c r="G27" s="10" t="s">
        <v>159</v>
      </c>
      <c r="H27" s="10" t="s">
        <v>14</v>
      </c>
      <c r="I27" s="10"/>
    </row>
    <row r="28" spans="1:9" ht="38.25" customHeight="1" x14ac:dyDescent="0.35">
      <c r="A28" s="9" t="s">
        <v>160</v>
      </c>
      <c r="B28" s="10" t="s">
        <v>161</v>
      </c>
      <c r="C28" s="10" t="s">
        <v>590</v>
      </c>
      <c r="D28" s="10" t="s">
        <v>111</v>
      </c>
      <c r="E28" s="10" t="s">
        <v>112</v>
      </c>
      <c r="F28" s="10" t="s">
        <v>158</v>
      </c>
      <c r="G28" s="10" t="s">
        <v>162</v>
      </c>
      <c r="H28" s="10" t="s">
        <v>14</v>
      </c>
      <c r="I28" s="10" t="s">
        <v>163</v>
      </c>
    </row>
    <row r="29" spans="1:9" ht="25.5" customHeight="1" x14ac:dyDescent="0.35">
      <c r="A29" s="9" t="s">
        <v>164</v>
      </c>
      <c r="B29" s="10" t="s">
        <v>165</v>
      </c>
      <c r="C29" s="10" t="s">
        <v>166</v>
      </c>
      <c r="D29" s="10" t="s">
        <v>111</v>
      </c>
      <c r="E29" s="10" t="s">
        <v>112</v>
      </c>
      <c r="F29" s="10" t="s">
        <v>158</v>
      </c>
      <c r="G29" s="10" t="s">
        <v>167</v>
      </c>
      <c r="H29" s="10" t="s">
        <v>41</v>
      </c>
      <c r="I29" s="10"/>
    </row>
    <row r="30" spans="1:9" ht="25.5" customHeight="1" x14ac:dyDescent="0.35">
      <c r="A30" s="9" t="s">
        <v>168</v>
      </c>
      <c r="B30" s="10" t="s">
        <v>169</v>
      </c>
      <c r="C30" s="10" t="s">
        <v>170</v>
      </c>
      <c r="D30" s="10" t="s">
        <v>171</v>
      </c>
      <c r="E30" s="10" t="s">
        <v>172</v>
      </c>
      <c r="F30" s="10" t="s">
        <v>158</v>
      </c>
      <c r="G30" s="10" t="s">
        <v>173</v>
      </c>
      <c r="H30" s="10" t="s">
        <v>14</v>
      </c>
      <c r="I30" s="10"/>
    </row>
    <row r="31" spans="1:9" ht="25.5" customHeight="1" x14ac:dyDescent="0.35">
      <c r="A31" s="9" t="s">
        <v>174</v>
      </c>
      <c r="B31" s="10" t="s">
        <v>175</v>
      </c>
      <c r="C31" s="10" t="s">
        <v>176</v>
      </c>
      <c r="D31" s="10" t="s">
        <v>127</v>
      </c>
      <c r="E31" s="10" t="s">
        <v>128</v>
      </c>
      <c r="F31" s="10" t="s">
        <v>158</v>
      </c>
      <c r="G31" s="10" t="s">
        <v>177</v>
      </c>
      <c r="H31" s="10" t="s">
        <v>14</v>
      </c>
      <c r="I31" s="10"/>
    </row>
    <row r="32" spans="1:9" x14ac:dyDescent="0.35">
      <c r="A32" s="9" t="s">
        <v>178</v>
      </c>
      <c r="B32" s="10" t="s">
        <v>179</v>
      </c>
      <c r="C32" s="10" t="s">
        <v>180</v>
      </c>
      <c r="D32" s="10" t="s">
        <v>105</v>
      </c>
      <c r="E32" s="10" t="s">
        <v>106</v>
      </c>
      <c r="F32" s="10" t="s">
        <v>181</v>
      </c>
      <c r="G32" s="10" t="s">
        <v>182</v>
      </c>
      <c r="H32" s="10" t="s">
        <v>14</v>
      </c>
      <c r="I32" s="10"/>
    </row>
    <row r="33" spans="1:9" ht="25.5" customHeight="1" x14ac:dyDescent="0.35">
      <c r="A33" s="9" t="s">
        <v>183</v>
      </c>
      <c r="B33" s="10" t="s">
        <v>184</v>
      </c>
      <c r="C33" s="10" t="s">
        <v>185</v>
      </c>
      <c r="D33" s="10" t="s">
        <v>171</v>
      </c>
      <c r="E33" s="10" t="s">
        <v>172</v>
      </c>
      <c r="F33" s="10" t="s">
        <v>158</v>
      </c>
      <c r="G33" s="10" t="s">
        <v>186</v>
      </c>
      <c r="H33" s="10" t="s">
        <v>14</v>
      </c>
      <c r="I33" s="10" t="s">
        <v>187</v>
      </c>
    </row>
    <row r="34" spans="1:9" ht="25.5" customHeight="1" x14ac:dyDescent="0.35">
      <c r="A34" s="9" t="s">
        <v>188</v>
      </c>
      <c r="B34" s="10" t="s">
        <v>189</v>
      </c>
      <c r="C34" s="10" t="s">
        <v>190</v>
      </c>
      <c r="D34" s="10" t="s">
        <v>191</v>
      </c>
      <c r="E34" s="10" t="s">
        <v>192</v>
      </c>
      <c r="F34" s="10" t="s">
        <v>158</v>
      </c>
      <c r="G34" s="10" t="s">
        <v>66</v>
      </c>
      <c r="H34" s="10" t="s">
        <v>14</v>
      </c>
      <c r="I34" s="10"/>
    </row>
    <row r="35" spans="1:9" x14ac:dyDescent="0.35">
      <c r="A35" s="23" t="s">
        <v>193</v>
      </c>
      <c r="B35" s="24"/>
      <c r="C35" s="24"/>
      <c r="D35" s="24"/>
      <c r="E35" s="24"/>
      <c r="F35" s="24"/>
      <c r="G35" s="24"/>
      <c r="H35" s="24"/>
      <c r="I35" s="25"/>
    </row>
    <row r="36" spans="1:9" ht="25.5" customHeight="1" x14ac:dyDescent="0.35">
      <c r="A36" s="9" t="s">
        <v>194</v>
      </c>
      <c r="B36" s="10" t="s">
        <v>195</v>
      </c>
      <c r="C36" s="10" t="s">
        <v>196</v>
      </c>
      <c r="D36" s="10" t="s">
        <v>63</v>
      </c>
      <c r="E36" s="10" t="s">
        <v>64</v>
      </c>
      <c r="F36" s="10" t="s">
        <v>181</v>
      </c>
      <c r="G36" s="10" t="s">
        <v>197</v>
      </c>
      <c r="H36" s="10" t="s">
        <v>14</v>
      </c>
      <c r="I36" s="10"/>
    </row>
    <row r="37" spans="1:9" ht="25.5" customHeight="1" x14ac:dyDescent="0.35">
      <c r="A37" s="9" t="s">
        <v>198</v>
      </c>
      <c r="B37" s="10" t="s">
        <v>199</v>
      </c>
      <c r="C37" s="10" t="s">
        <v>200</v>
      </c>
      <c r="D37" s="10" t="s">
        <v>105</v>
      </c>
      <c r="E37" s="10" t="s">
        <v>106</v>
      </c>
      <c r="F37" s="10" t="s">
        <v>181</v>
      </c>
      <c r="G37" s="10" t="s">
        <v>71</v>
      </c>
      <c r="H37" s="10" t="s">
        <v>14</v>
      </c>
      <c r="I37" s="10" t="s">
        <v>201</v>
      </c>
    </row>
    <row r="38" spans="1:9" ht="25.5" customHeight="1" x14ac:dyDescent="0.35">
      <c r="A38" s="9" t="s">
        <v>202</v>
      </c>
      <c r="B38" s="10" t="s">
        <v>203</v>
      </c>
      <c r="C38" s="10" t="s">
        <v>204</v>
      </c>
      <c r="D38" s="10" t="s">
        <v>105</v>
      </c>
      <c r="E38" s="10" t="s">
        <v>106</v>
      </c>
      <c r="F38" s="10" t="s">
        <v>181</v>
      </c>
      <c r="G38" s="10" t="s">
        <v>205</v>
      </c>
      <c r="H38" s="10" t="s">
        <v>14</v>
      </c>
      <c r="I38" s="10" t="s">
        <v>206</v>
      </c>
    </row>
    <row r="39" spans="1:9" ht="25.5" customHeight="1" x14ac:dyDescent="0.35">
      <c r="A39" s="9" t="s">
        <v>207</v>
      </c>
      <c r="B39" s="10" t="s">
        <v>208</v>
      </c>
      <c r="C39" s="10" t="s">
        <v>209</v>
      </c>
      <c r="D39" s="10" t="s">
        <v>81</v>
      </c>
      <c r="E39" s="10" t="s">
        <v>82</v>
      </c>
      <c r="F39" s="10" t="s">
        <v>181</v>
      </c>
      <c r="G39" s="10" t="s">
        <v>210</v>
      </c>
      <c r="H39" s="10" t="s">
        <v>14</v>
      </c>
      <c r="I39" s="10" t="s">
        <v>211</v>
      </c>
    </row>
    <row r="40" spans="1:9" ht="25.5" customHeight="1" x14ac:dyDescent="0.35">
      <c r="A40" s="9" t="s">
        <v>212</v>
      </c>
      <c r="B40" s="10" t="s">
        <v>213</v>
      </c>
      <c r="C40" s="10" t="s">
        <v>214</v>
      </c>
      <c r="D40" s="10" t="s">
        <v>105</v>
      </c>
      <c r="E40" s="10" t="s">
        <v>106</v>
      </c>
      <c r="F40" s="10" t="s">
        <v>181</v>
      </c>
      <c r="G40" s="10" t="s">
        <v>71</v>
      </c>
      <c r="H40" s="10" t="s">
        <v>41</v>
      </c>
      <c r="I40" s="10"/>
    </row>
    <row r="41" spans="1:9" x14ac:dyDescent="0.35">
      <c r="A41" s="23" t="s">
        <v>215</v>
      </c>
      <c r="B41" s="24"/>
      <c r="C41" s="24"/>
      <c r="D41" s="24"/>
      <c r="E41" s="24"/>
      <c r="F41" s="24"/>
      <c r="G41" s="24"/>
      <c r="H41" s="24"/>
      <c r="I41" s="25"/>
    </row>
    <row r="42" spans="1:9" ht="25.5" customHeight="1" x14ac:dyDescent="0.35">
      <c r="A42" s="9" t="s">
        <v>216</v>
      </c>
      <c r="B42" s="10" t="s">
        <v>217</v>
      </c>
      <c r="C42" s="10" t="s">
        <v>218</v>
      </c>
      <c r="D42" s="10" t="s">
        <v>63</v>
      </c>
      <c r="E42" s="10" t="s">
        <v>64</v>
      </c>
      <c r="F42" s="10" t="s">
        <v>219</v>
      </c>
      <c r="G42" s="10" t="s">
        <v>220</v>
      </c>
      <c r="H42" s="10" t="s">
        <v>14</v>
      </c>
      <c r="I42" s="10" t="s">
        <v>221</v>
      </c>
    </row>
    <row r="43" spans="1:9" ht="25.5" customHeight="1" x14ac:dyDescent="0.35">
      <c r="A43" s="9" t="s">
        <v>222</v>
      </c>
      <c r="B43" s="10" t="s">
        <v>223</v>
      </c>
      <c r="C43" s="10" t="s">
        <v>224</v>
      </c>
      <c r="D43" s="10" t="s">
        <v>127</v>
      </c>
      <c r="E43" s="10" t="s">
        <v>128</v>
      </c>
      <c r="F43" s="10" t="s">
        <v>219</v>
      </c>
      <c r="G43" s="10" t="s">
        <v>71</v>
      </c>
      <c r="H43" s="10" t="s">
        <v>14</v>
      </c>
      <c r="I43" s="10" t="s">
        <v>225</v>
      </c>
    </row>
    <row r="44" spans="1:9" ht="25.5" customHeight="1" x14ac:dyDescent="0.35">
      <c r="A44" s="9" t="s">
        <v>226</v>
      </c>
      <c r="B44" s="10" t="s">
        <v>227</v>
      </c>
      <c r="C44" s="10" t="s">
        <v>228</v>
      </c>
      <c r="D44" s="10" t="s">
        <v>111</v>
      </c>
      <c r="E44" s="10" t="s">
        <v>112</v>
      </c>
      <c r="F44" s="10" t="s">
        <v>219</v>
      </c>
      <c r="G44" s="10" t="s">
        <v>71</v>
      </c>
      <c r="H44" s="10" t="s">
        <v>14</v>
      </c>
      <c r="I44" s="10" t="s">
        <v>229</v>
      </c>
    </row>
    <row r="45" spans="1:9" ht="25.5" customHeight="1" x14ac:dyDescent="0.35">
      <c r="A45" s="9" t="s">
        <v>230</v>
      </c>
      <c r="B45" s="10" t="s">
        <v>231</v>
      </c>
      <c r="C45" s="10" t="s">
        <v>232</v>
      </c>
      <c r="D45" s="10" t="s">
        <v>233</v>
      </c>
      <c r="E45" s="10" t="s">
        <v>234</v>
      </c>
      <c r="F45" s="10" t="s">
        <v>219</v>
      </c>
      <c r="G45" s="10" t="s">
        <v>66</v>
      </c>
      <c r="H45" s="10" t="s">
        <v>14</v>
      </c>
      <c r="I45" s="10"/>
    </row>
    <row r="46" spans="1:9" ht="25.5" customHeight="1" x14ac:dyDescent="0.35">
      <c r="A46" s="9" t="s">
        <v>235</v>
      </c>
      <c r="B46" s="10" t="s">
        <v>236</v>
      </c>
      <c r="C46" s="10" t="s">
        <v>237</v>
      </c>
      <c r="D46" s="10" t="s">
        <v>238</v>
      </c>
      <c r="E46" s="10" t="s">
        <v>239</v>
      </c>
      <c r="F46" s="10" t="s">
        <v>219</v>
      </c>
      <c r="G46" s="10" t="s">
        <v>71</v>
      </c>
      <c r="H46" s="10" t="s">
        <v>14</v>
      </c>
      <c r="I46" s="10" t="s">
        <v>240</v>
      </c>
    </row>
    <row r="47" spans="1:9" x14ac:dyDescent="0.35">
      <c r="A47" s="9" t="s">
        <v>241</v>
      </c>
      <c r="B47" s="10" t="s">
        <v>242</v>
      </c>
      <c r="C47" s="10" t="s">
        <v>243</v>
      </c>
      <c r="D47" s="10" t="s">
        <v>111</v>
      </c>
      <c r="E47" s="10" t="s">
        <v>112</v>
      </c>
      <c r="F47" s="10" t="s">
        <v>219</v>
      </c>
      <c r="G47" s="10" t="s">
        <v>210</v>
      </c>
      <c r="H47" s="10" t="s">
        <v>14</v>
      </c>
      <c r="I47" s="10"/>
    </row>
    <row r="48" spans="1:9" x14ac:dyDescent="0.35">
      <c r="A48" s="9" t="s">
        <v>244</v>
      </c>
      <c r="B48" s="10" t="s">
        <v>245</v>
      </c>
      <c r="C48" s="10" t="s">
        <v>246</v>
      </c>
      <c r="D48" s="10" t="s">
        <v>191</v>
      </c>
      <c r="E48" s="10" t="s">
        <v>192</v>
      </c>
      <c r="F48" s="10" t="s">
        <v>219</v>
      </c>
      <c r="G48" s="10" t="s">
        <v>177</v>
      </c>
      <c r="H48" s="10" t="s">
        <v>14</v>
      </c>
      <c r="I48" s="10"/>
    </row>
    <row r="49" spans="1:9" ht="25.5" customHeight="1" x14ac:dyDescent="0.35">
      <c r="A49" s="9" t="s">
        <v>247</v>
      </c>
      <c r="B49" s="10" t="s">
        <v>248</v>
      </c>
      <c r="C49" s="10" t="s">
        <v>249</v>
      </c>
      <c r="D49" s="10" t="s">
        <v>191</v>
      </c>
      <c r="E49" s="10" t="s">
        <v>192</v>
      </c>
      <c r="F49" s="10" t="s">
        <v>219</v>
      </c>
      <c r="G49" s="10" t="s">
        <v>71</v>
      </c>
      <c r="H49" s="10" t="s">
        <v>14</v>
      </c>
      <c r="I49" s="10"/>
    </row>
    <row r="50" spans="1:9" ht="25.5" customHeight="1" x14ac:dyDescent="0.35">
      <c r="A50" s="9" t="s">
        <v>250</v>
      </c>
      <c r="B50" s="10" t="s">
        <v>251</v>
      </c>
      <c r="C50" s="10" t="s">
        <v>252</v>
      </c>
      <c r="D50" s="10" t="s">
        <v>238</v>
      </c>
      <c r="E50" s="10" t="s">
        <v>239</v>
      </c>
      <c r="F50" s="10" t="s">
        <v>219</v>
      </c>
      <c r="G50" s="10" t="s">
        <v>253</v>
      </c>
      <c r="H50" s="10" t="s">
        <v>14</v>
      </c>
      <c r="I50" s="10" t="s">
        <v>254</v>
      </c>
    </row>
    <row r="51" spans="1:9" x14ac:dyDescent="0.35">
      <c r="A51" s="9" t="s">
        <v>255</v>
      </c>
      <c r="B51" s="10" t="s">
        <v>256</v>
      </c>
      <c r="C51" s="10" t="s">
        <v>257</v>
      </c>
      <c r="D51" s="10" t="s">
        <v>238</v>
      </c>
      <c r="E51" s="10" t="s">
        <v>239</v>
      </c>
      <c r="F51" s="10" t="s">
        <v>219</v>
      </c>
      <c r="G51" s="10" t="s">
        <v>258</v>
      </c>
      <c r="H51" s="10" t="s">
        <v>14</v>
      </c>
      <c r="I51" s="10" t="s">
        <v>259</v>
      </c>
    </row>
    <row r="52" spans="1:9" ht="25.5" customHeight="1" x14ac:dyDescent="0.35">
      <c r="A52" s="9" t="s">
        <v>260</v>
      </c>
      <c r="B52" s="10" t="s">
        <v>261</v>
      </c>
      <c r="C52" s="10" t="s">
        <v>262</v>
      </c>
      <c r="D52" s="10" t="s">
        <v>263</v>
      </c>
      <c r="E52" s="10" t="s">
        <v>264</v>
      </c>
      <c r="F52" s="10" t="s">
        <v>219</v>
      </c>
      <c r="G52" s="10" t="s">
        <v>71</v>
      </c>
      <c r="H52" s="10" t="s">
        <v>14</v>
      </c>
      <c r="I52" s="10" t="s">
        <v>265</v>
      </c>
    </row>
    <row r="53" spans="1:9" x14ac:dyDescent="0.35">
      <c r="A53" s="23" t="s">
        <v>266</v>
      </c>
      <c r="B53" s="24"/>
      <c r="C53" s="24"/>
      <c r="D53" s="24"/>
      <c r="E53" s="24"/>
      <c r="F53" s="24"/>
      <c r="G53" s="24"/>
      <c r="H53" s="24"/>
      <c r="I53" s="25"/>
    </row>
    <row r="54" spans="1:9" ht="25.5" customHeight="1" x14ac:dyDescent="0.35">
      <c r="A54" s="9" t="s">
        <v>267</v>
      </c>
      <c r="B54" s="10" t="s">
        <v>268</v>
      </c>
      <c r="C54" s="10" t="s">
        <v>269</v>
      </c>
      <c r="D54" s="10" t="s">
        <v>238</v>
      </c>
      <c r="E54" s="10" t="s">
        <v>239</v>
      </c>
      <c r="F54" s="10" t="s">
        <v>270</v>
      </c>
      <c r="G54" s="10" t="s">
        <v>271</v>
      </c>
      <c r="H54" s="10" t="s">
        <v>14</v>
      </c>
      <c r="I54" s="10"/>
    </row>
    <row r="55" spans="1:9" ht="25.5" customHeight="1" x14ac:dyDescent="0.35">
      <c r="A55" s="9" t="s">
        <v>272</v>
      </c>
      <c r="B55" s="10" t="s">
        <v>273</v>
      </c>
      <c r="C55" s="10" t="s">
        <v>274</v>
      </c>
      <c r="D55" s="10" t="s">
        <v>146</v>
      </c>
      <c r="E55" s="10" t="s">
        <v>147</v>
      </c>
      <c r="F55" s="10" t="s">
        <v>270</v>
      </c>
      <c r="G55" s="10" t="s">
        <v>71</v>
      </c>
      <c r="H55" s="10" t="s">
        <v>14</v>
      </c>
      <c r="I55" s="10"/>
    </row>
    <row r="56" spans="1:9" ht="25.5" customHeight="1" x14ac:dyDescent="0.35">
      <c r="A56" s="9" t="s">
        <v>275</v>
      </c>
      <c r="B56" s="10" t="s">
        <v>276</v>
      </c>
      <c r="C56" s="10" t="s">
        <v>277</v>
      </c>
      <c r="D56" s="10" t="s">
        <v>278</v>
      </c>
      <c r="E56" s="10" t="s">
        <v>279</v>
      </c>
      <c r="F56" s="10" t="s">
        <v>270</v>
      </c>
      <c r="G56" s="10" t="s">
        <v>280</v>
      </c>
      <c r="H56" s="10" t="s">
        <v>14</v>
      </c>
      <c r="I56" s="10" t="s">
        <v>281</v>
      </c>
    </row>
    <row r="57" spans="1:9" ht="25.5" customHeight="1" x14ac:dyDescent="0.35">
      <c r="A57" s="9" t="s">
        <v>282</v>
      </c>
      <c r="B57" s="10" t="s">
        <v>283</v>
      </c>
      <c r="C57" s="10" t="s">
        <v>284</v>
      </c>
      <c r="D57" s="10" t="s">
        <v>285</v>
      </c>
      <c r="E57" s="10" t="s">
        <v>286</v>
      </c>
      <c r="F57" s="10" t="s">
        <v>270</v>
      </c>
      <c r="G57" s="10" t="s">
        <v>71</v>
      </c>
      <c r="H57" s="10" t="s">
        <v>14</v>
      </c>
      <c r="I57" s="10"/>
    </row>
    <row r="58" spans="1:9" x14ac:dyDescent="0.35">
      <c r="A58" s="9" t="s">
        <v>287</v>
      </c>
      <c r="B58" s="10" t="s">
        <v>288</v>
      </c>
      <c r="C58" s="10" t="s">
        <v>289</v>
      </c>
      <c r="D58" s="10" t="s">
        <v>285</v>
      </c>
      <c r="E58" s="10" t="s">
        <v>286</v>
      </c>
      <c r="F58" s="10" t="s">
        <v>270</v>
      </c>
      <c r="G58" s="10" t="s">
        <v>71</v>
      </c>
      <c r="H58" s="10" t="s">
        <v>14</v>
      </c>
      <c r="I58" s="10"/>
    </row>
    <row r="59" spans="1:9" x14ac:dyDescent="0.35">
      <c r="A59" s="9" t="s">
        <v>290</v>
      </c>
      <c r="B59" s="10" t="s">
        <v>291</v>
      </c>
      <c r="C59" s="10" t="s">
        <v>292</v>
      </c>
      <c r="D59" s="10" t="s">
        <v>285</v>
      </c>
      <c r="E59" s="10" t="s">
        <v>286</v>
      </c>
      <c r="F59" s="10" t="s">
        <v>270</v>
      </c>
      <c r="G59" s="10" t="s">
        <v>293</v>
      </c>
      <c r="H59" s="10" t="s">
        <v>14</v>
      </c>
      <c r="I59" s="10" t="s">
        <v>294</v>
      </c>
    </row>
    <row r="60" spans="1:9" x14ac:dyDescent="0.35">
      <c r="A60" s="23" t="s">
        <v>295</v>
      </c>
      <c r="B60" s="24"/>
      <c r="C60" s="24"/>
      <c r="D60" s="24"/>
      <c r="E60" s="24"/>
      <c r="F60" s="24"/>
      <c r="G60" s="24"/>
      <c r="H60" s="24"/>
      <c r="I60" s="25"/>
    </row>
    <row r="61" spans="1:9" x14ac:dyDescent="0.35">
      <c r="A61" s="9" t="s">
        <v>296</v>
      </c>
      <c r="B61" s="10" t="s">
        <v>297</v>
      </c>
      <c r="C61" s="10" t="s">
        <v>298</v>
      </c>
      <c r="D61" s="10" t="s">
        <v>285</v>
      </c>
      <c r="E61" s="10" t="s">
        <v>286</v>
      </c>
      <c r="F61" s="10" t="s">
        <v>299</v>
      </c>
      <c r="G61" s="10" t="s">
        <v>271</v>
      </c>
      <c r="H61" s="10" t="s">
        <v>14</v>
      </c>
      <c r="I61" s="10"/>
    </row>
    <row r="62" spans="1:9" ht="25.5" customHeight="1" x14ac:dyDescent="0.35">
      <c r="A62" s="9" t="s">
        <v>300</v>
      </c>
      <c r="B62" s="10" t="s">
        <v>301</v>
      </c>
      <c r="C62" s="10" t="s">
        <v>302</v>
      </c>
      <c r="D62" s="10" t="s">
        <v>303</v>
      </c>
      <c r="E62" s="10" t="s">
        <v>304</v>
      </c>
      <c r="F62" s="10" t="s">
        <v>299</v>
      </c>
      <c r="G62" s="10" t="s">
        <v>271</v>
      </c>
      <c r="H62" s="10" t="s">
        <v>14</v>
      </c>
      <c r="I62" s="10"/>
    </row>
    <row r="63" spans="1:9" ht="25.5" customHeight="1" x14ac:dyDescent="0.35">
      <c r="A63" s="9" t="s">
        <v>305</v>
      </c>
      <c r="B63" s="10" t="s">
        <v>306</v>
      </c>
      <c r="C63" s="10" t="s">
        <v>307</v>
      </c>
      <c r="D63" s="10" t="s">
        <v>303</v>
      </c>
      <c r="E63" s="10" t="s">
        <v>304</v>
      </c>
      <c r="F63" s="10" t="s">
        <v>299</v>
      </c>
      <c r="G63" s="10" t="s">
        <v>71</v>
      </c>
      <c r="H63" s="10" t="s">
        <v>14</v>
      </c>
      <c r="I63" s="10"/>
    </row>
    <row r="64" spans="1:9" ht="25.5" customHeight="1" x14ac:dyDescent="0.35">
      <c r="A64" s="9" t="s">
        <v>308</v>
      </c>
      <c r="B64" s="10" t="s">
        <v>309</v>
      </c>
      <c r="C64" s="10" t="s">
        <v>310</v>
      </c>
      <c r="D64" s="10" t="s">
        <v>303</v>
      </c>
      <c r="E64" s="10" t="s">
        <v>304</v>
      </c>
      <c r="F64" s="10" t="s">
        <v>299</v>
      </c>
      <c r="G64" s="10" t="s">
        <v>71</v>
      </c>
      <c r="H64" s="10" t="s">
        <v>14</v>
      </c>
      <c r="I64" s="10"/>
    </row>
    <row r="65" spans="1:9" x14ac:dyDescent="0.35">
      <c r="A65" s="23" t="s">
        <v>311</v>
      </c>
      <c r="B65" s="24"/>
      <c r="C65" s="24"/>
      <c r="D65" s="24"/>
      <c r="E65" s="24"/>
      <c r="F65" s="24"/>
      <c r="G65" s="24"/>
      <c r="H65" s="24"/>
      <c r="I65" s="25"/>
    </row>
    <row r="66" spans="1:9" x14ac:dyDescent="0.35">
      <c r="A66" s="9" t="s">
        <v>312</v>
      </c>
      <c r="B66" s="10" t="s">
        <v>313</v>
      </c>
      <c r="C66" s="10" t="s">
        <v>314</v>
      </c>
      <c r="D66" s="10" t="s">
        <v>315</v>
      </c>
      <c r="E66" s="10" t="s">
        <v>316</v>
      </c>
      <c r="F66" s="10" t="s">
        <v>317</v>
      </c>
      <c r="G66" s="10" t="s">
        <v>318</v>
      </c>
      <c r="H66" s="10" t="s">
        <v>14</v>
      </c>
      <c r="I66" s="10"/>
    </row>
    <row r="67" spans="1:9" x14ac:dyDescent="0.35">
      <c r="A67" s="9" t="s">
        <v>319</v>
      </c>
      <c r="B67" s="10" t="s">
        <v>320</v>
      </c>
      <c r="C67" s="10" t="s">
        <v>321</v>
      </c>
      <c r="D67" s="10" t="s">
        <v>315</v>
      </c>
      <c r="E67" s="10" t="s">
        <v>316</v>
      </c>
      <c r="F67" s="10" t="s">
        <v>317</v>
      </c>
      <c r="G67" s="10" t="s">
        <v>322</v>
      </c>
      <c r="H67" s="10" t="s">
        <v>14</v>
      </c>
      <c r="I67" s="10"/>
    </row>
    <row r="68" spans="1:9" x14ac:dyDescent="0.35">
      <c r="A68" s="9" t="s">
        <v>323</v>
      </c>
      <c r="B68" s="10" t="s">
        <v>324</v>
      </c>
      <c r="C68" s="10" t="s">
        <v>325</v>
      </c>
      <c r="D68" s="10" t="s">
        <v>315</v>
      </c>
      <c r="E68" s="10" t="s">
        <v>316</v>
      </c>
      <c r="F68" s="10" t="s">
        <v>317</v>
      </c>
      <c r="G68" s="10" t="s">
        <v>326</v>
      </c>
      <c r="H68" s="10" t="s">
        <v>14</v>
      </c>
      <c r="I68" s="10"/>
    </row>
    <row r="69" spans="1:9" ht="25.5" customHeight="1" x14ac:dyDescent="0.35">
      <c r="A69" s="9" t="s">
        <v>327</v>
      </c>
      <c r="B69" s="10" t="s">
        <v>328</v>
      </c>
      <c r="C69" s="10" t="s">
        <v>329</v>
      </c>
      <c r="D69" s="10" t="s">
        <v>315</v>
      </c>
      <c r="E69" s="10" t="s">
        <v>316</v>
      </c>
      <c r="F69" s="10" t="s">
        <v>317</v>
      </c>
      <c r="G69" s="10" t="s">
        <v>326</v>
      </c>
      <c r="H69" s="10" t="s">
        <v>14</v>
      </c>
      <c r="I69" s="10"/>
    </row>
    <row r="70" spans="1:9" ht="25.5" customHeight="1" x14ac:dyDescent="0.35">
      <c r="A70" s="9" t="s">
        <v>330</v>
      </c>
      <c r="B70" s="10" t="s">
        <v>331</v>
      </c>
      <c r="C70" s="10" t="s">
        <v>332</v>
      </c>
      <c r="D70" s="10" t="s">
        <v>315</v>
      </c>
      <c r="E70" s="10" t="s">
        <v>316</v>
      </c>
      <c r="F70" s="10" t="s">
        <v>317</v>
      </c>
      <c r="G70" s="10" t="s">
        <v>71</v>
      </c>
      <c r="H70" s="10" t="s">
        <v>14</v>
      </c>
      <c r="I70" s="10"/>
    </row>
    <row r="71" spans="1:9" ht="25.5" customHeight="1" x14ac:dyDescent="0.35">
      <c r="A71" s="9" t="s">
        <v>333</v>
      </c>
      <c r="B71" s="10" t="s">
        <v>334</v>
      </c>
      <c r="C71" s="10" t="s">
        <v>335</v>
      </c>
      <c r="D71" s="10" t="s">
        <v>315</v>
      </c>
      <c r="E71" s="10" t="s">
        <v>316</v>
      </c>
      <c r="F71" s="10" t="s">
        <v>317</v>
      </c>
      <c r="G71" s="10" t="s">
        <v>336</v>
      </c>
      <c r="H71" s="10" t="s">
        <v>14</v>
      </c>
      <c r="I71" s="10"/>
    </row>
    <row r="72" spans="1:9" ht="25.5" customHeight="1" x14ac:dyDescent="0.35">
      <c r="A72" s="9" t="s">
        <v>337</v>
      </c>
      <c r="B72" s="10" t="s">
        <v>338</v>
      </c>
      <c r="C72" s="10" t="s">
        <v>339</v>
      </c>
      <c r="D72" s="10" t="s">
        <v>315</v>
      </c>
      <c r="E72" s="10" t="s">
        <v>316</v>
      </c>
      <c r="F72" s="10" t="s">
        <v>317</v>
      </c>
      <c r="G72" s="10" t="s">
        <v>340</v>
      </c>
      <c r="H72" s="10" t="s">
        <v>14</v>
      </c>
      <c r="I72" s="10"/>
    </row>
    <row r="73" spans="1:9" x14ac:dyDescent="0.35">
      <c r="A73" s="23" t="s">
        <v>341</v>
      </c>
      <c r="B73" s="24"/>
      <c r="C73" s="24"/>
      <c r="D73" s="24"/>
      <c r="E73" s="24"/>
      <c r="F73" s="24"/>
      <c r="G73" s="24"/>
      <c r="H73" s="24"/>
      <c r="I73" s="25"/>
    </row>
    <row r="74" spans="1:9" ht="25.5" customHeight="1" x14ac:dyDescent="0.35">
      <c r="A74" s="9" t="s">
        <v>342</v>
      </c>
      <c r="B74" s="10" t="s">
        <v>343</v>
      </c>
      <c r="C74" s="10" t="s">
        <v>344</v>
      </c>
      <c r="D74" s="10" t="s">
        <v>105</v>
      </c>
      <c r="E74" s="10" t="s">
        <v>106</v>
      </c>
      <c r="F74" s="10" t="s">
        <v>345</v>
      </c>
      <c r="G74" s="10" t="s">
        <v>71</v>
      </c>
      <c r="H74" s="10" t="s">
        <v>14</v>
      </c>
      <c r="I74" s="10" t="s">
        <v>346</v>
      </c>
    </row>
    <row r="75" spans="1:9" x14ac:dyDescent="0.35">
      <c r="A75" s="9" t="s">
        <v>347</v>
      </c>
      <c r="B75" s="10" t="s">
        <v>348</v>
      </c>
      <c r="C75" s="10" t="s">
        <v>349</v>
      </c>
      <c r="D75" s="10" t="s">
        <v>350</v>
      </c>
      <c r="E75" s="10" t="s">
        <v>351</v>
      </c>
      <c r="F75" s="10" t="s">
        <v>352</v>
      </c>
      <c r="G75" s="10" t="s">
        <v>66</v>
      </c>
      <c r="H75" s="10" t="s">
        <v>14</v>
      </c>
      <c r="I75" s="10"/>
    </row>
    <row r="76" spans="1:9" ht="25.5" customHeight="1" x14ac:dyDescent="0.35">
      <c r="A76" s="9" t="s">
        <v>353</v>
      </c>
      <c r="B76" s="10" t="s">
        <v>354</v>
      </c>
      <c r="C76" s="10" t="s">
        <v>355</v>
      </c>
      <c r="D76" s="10" t="s">
        <v>356</v>
      </c>
      <c r="E76" s="10" t="s">
        <v>357</v>
      </c>
      <c r="F76" s="10" t="s">
        <v>352</v>
      </c>
      <c r="G76" s="10" t="s">
        <v>358</v>
      </c>
      <c r="H76" s="10" t="s">
        <v>14</v>
      </c>
      <c r="I76" s="10"/>
    </row>
    <row r="77" spans="1:9" ht="25.5" customHeight="1" x14ac:dyDescent="0.35">
      <c r="A77" s="9" t="s">
        <v>359</v>
      </c>
      <c r="B77" s="10" t="s">
        <v>360</v>
      </c>
      <c r="C77" s="10" t="s">
        <v>361</v>
      </c>
      <c r="D77" s="10" t="s">
        <v>356</v>
      </c>
      <c r="E77" s="10" t="s">
        <v>357</v>
      </c>
      <c r="F77" s="10" t="s">
        <v>352</v>
      </c>
      <c r="G77" s="10" t="s">
        <v>358</v>
      </c>
      <c r="H77" s="10" t="s">
        <v>14</v>
      </c>
      <c r="I77" s="10"/>
    </row>
    <row r="78" spans="1:9" ht="25.5" customHeight="1" x14ac:dyDescent="0.35">
      <c r="A78" s="9" t="s">
        <v>362</v>
      </c>
      <c r="B78" s="10" t="s">
        <v>363</v>
      </c>
      <c r="C78" s="10" t="s">
        <v>364</v>
      </c>
      <c r="D78" s="10" t="s">
        <v>365</v>
      </c>
      <c r="E78" s="10" t="s">
        <v>366</v>
      </c>
      <c r="F78" s="10" t="s">
        <v>352</v>
      </c>
      <c r="G78" s="10" t="s">
        <v>71</v>
      </c>
      <c r="H78" s="10" t="s">
        <v>14</v>
      </c>
      <c r="I78" s="10"/>
    </row>
    <row r="79" spans="1:9" x14ac:dyDescent="0.35">
      <c r="A79" s="9" t="s">
        <v>367</v>
      </c>
      <c r="B79" s="10" t="s">
        <v>368</v>
      </c>
      <c r="C79" s="10" t="s">
        <v>369</v>
      </c>
      <c r="D79" s="10" t="s">
        <v>370</v>
      </c>
      <c r="E79" s="10" t="s">
        <v>371</v>
      </c>
      <c r="F79" s="10" t="s">
        <v>352</v>
      </c>
      <c r="G79" s="10" t="s">
        <v>71</v>
      </c>
      <c r="H79" s="10" t="s">
        <v>14</v>
      </c>
      <c r="I79" s="10"/>
    </row>
  </sheetData>
  <autoFilter ref="A4:I79" xr:uid="{00000000-0009-0000-0000-000001000000}"/>
  <mergeCells count="11">
    <mergeCell ref="A65:I65"/>
    <mergeCell ref="A73:I73"/>
    <mergeCell ref="A2:I2"/>
    <mergeCell ref="A41:I41"/>
    <mergeCell ref="A5:I5"/>
    <mergeCell ref="A60:I60"/>
    <mergeCell ref="A1:I1"/>
    <mergeCell ref="A17:I17"/>
    <mergeCell ref="A53:I53"/>
    <mergeCell ref="A35:I35"/>
    <mergeCell ref="A26:I26"/>
  </mergeCells>
  <conditionalFormatting sqref="H5:H79">
    <cfRule type="cellIs" dxfId="17" priority="1" operator="equal">
      <formula>"Klaar"</formula>
    </cfRule>
    <cfRule type="cellIs" dxfId="16" priority="2" operator="equal">
      <formula>"Bezig"</formula>
    </cfRule>
    <cfRule type="cellIs" dxfId="15" priority="3" operator="equal">
      <formula>"Geblokkeerd"</formula>
    </cfRule>
    <cfRule type="cellIs" dxfId="14" priority="4" operator="equal">
      <formula>"Vervalt"</formula>
    </cfRule>
  </conditionalFormatting>
  <dataValidations count="1">
    <dataValidation type="list" allowBlank="1" errorTitle="Ongeldige status" error="Kies een status uit de lijst." sqref="H5:H79" xr:uid="{00000000-0002-0000-0100-000000000000}">
      <formula1>"Te doen,Bezig,Klaar,Geblokkeerd,Vervalt"</formula1>
    </dataValidation>
  </dataValidations>
  <hyperlinks>
    <hyperlink ref="I18" r:id="rId1" display="https://euroqol.org/register/?utm_source=chatgpt.com" xr:uid="{00000000-0004-0000-0100-000000000000}"/>
  </hyperlink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59"/>
  <sheetViews>
    <sheetView workbookViewId="0">
      <pane ySplit="4" topLeftCell="A10" activePane="bottomLeft" state="frozen"/>
      <selection pane="bottomLeft" activeCell="B14" sqref="B14"/>
    </sheetView>
  </sheetViews>
  <sheetFormatPr defaultRowHeight="14.5" x14ac:dyDescent="0.35"/>
  <cols>
    <col min="1" max="1" width="6" customWidth="1"/>
    <col min="2" max="2" width="34" customWidth="1"/>
    <col min="3" max="3" width="74" customWidth="1"/>
    <col min="4" max="4" width="26" customWidth="1"/>
    <col min="5" max="5" width="12" customWidth="1"/>
    <col min="6" max="6" width="13" customWidth="1"/>
    <col min="7" max="7" width="26" customWidth="1"/>
  </cols>
  <sheetData>
    <row r="1" spans="1:7" ht="18.75" customHeight="1" x14ac:dyDescent="0.45">
      <c r="A1" s="21" t="s">
        <v>46</v>
      </c>
      <c r="B1" s="20"/>
      <c r="C1" s="20"/>
      <c r="D1" s="20"/>
      <c r="E1" s="20"/>
      <c r="F1" s="20"/>
      <c r="G1" s="20"/>
    </row>
    <row r="2" spans="1:7" x14ac:dyDescent="0.35">
      <c r="A2" s="19" t="s">
        <v>372</v>
      </c>
      <c r="B2" s="20"/>
      <c r="C2" s="20"/>
      <c r="D2" s="20"/>
      <c r="E2" s="20"/>
      <c r="F2" s="20"/>
      <c r="G2" s="20"/>
    </row>
    <row r="4" spans="1:7" ht="26.15" customHeight="1" x14ac:dyDescent="0.35">
      <c r="A4" s="8" t="s">
        <v>52</v>
      </c>
      <c r="B4" s="8" t="s">
        <v>373</v>
      </c>
      <c r="C4" s="8" t="s">
        <v>54</v>
      </c>
      <c r="D4" s="8" t="s">
        <v>374</v>
      </c>
      <c r="E4" s="8" t="s">
        <v>375</v>
      </c>
      <c r="F4" s="8" t="s">
        <v>7</v>
      </c>
      <c r="G4" s="8" t="s">
        <v>8</v>
      </c>
    </row>
    <row r="5" spans="1:7" x14ac:dyDescent="0.35">
      <c r="A5" s="23" t="s">
        <v>376</v>
      </c>
      <c r="B5" s="24"/>
      <c r="C5" s="24"/>
      <c r="D5" s="24"/>
      <c r="E5" s="24"/>
      <c r="F5" s="24"/>
      <c r="G5" s="25"/>
    </row>
    <row r="6" spans="1:7" ht="38.25" customHeight="1" x14ac:dyDescent="0.35">
      <c r="A6" s="9">
        <v>1</v>
      </c>
      <c r="B6" s="10" t="s">
        <v>377</v>
      </c>
      <c r="C6" s="10" t="s">
        <v>378</v>
      </c>
      <c r="D6" s="10" t="s">
        <v>379</v>
      </c>
      <c r="E6" s="10" t="s">
        <v>380</v>
      </c>
      <c r="F6" s="10" t="s">
        <v>41</v>
      </c>
      <c r="G6" s="10" t="s">
        <v>381</v>
      </c>
    </row>
    <row r="7" spans="1:7" ht="25.5" customHeight="1" x14ac:dyDescent="0.35">
      <c r="A7" s="9">
        <v>2</v>
      </c>
      <c r="B7" s="10" t="s">
        <v>382</v>
      </c>
      <c r="C7" s="10" t="s">
        <v>383</v>
      </c>
      <c r="D7" s="10" t="s">
        <v>384</v>
      </c>
      <c r="E7" s="10" t="s">
        <v>380</v>
      </c>
      <c r="F7" s="10" t="s">
        <v>41</v>
      </c>
      <c r="G7" s="10" t="s">
        <v>385</v>
      </c>
    </row>
    <row r="8" spans="1:7" ht="25.5" customHeight="1" x14ac:dyDescent="0.35">
      <c r="A8" s="9">
        <v>3</v>
      </c>
      <c r="B8" s="10" t="s">
        <v>386</v>
      </c>
      <c r="C8" s="10" t="s">
        <v>387</v>
      </c>
      <c r="D8" s="10" t="s">
        <v>388</v>
      </c>
      <c r="E8" s="10" t="s">
        <v>380</v>
      </c>
      <c r="F8" s="10" t="s">
        <v>41</v>
      </c>
      <c r="G8" s="10" t="s">
        <v>385</v>
      </c>
    </row>
    <row r="9" spans="1:7" ht="25.5" customHeight="1" x14ac:dyDescent="0.35">
      <c r="A9" s="9">
        <v>4</v>
      </c>
      <c r="B9" s="10" t="s">
        <v>389</v>
      </c>
      <c r="C9" s="10" t="s">
        <v>390</v>
      </c>
      <c r="D9" s="10" t="s">
        <v>391</v>
      </c>
      <c r="E9" s="10" t="s">
        <v>392</v>
      </c>
      <c r="F9" s="10" t="s">
        <v>41</v>
      </c>
      <c r="G9" s="10" t="s">
        <v>393</v>
      </c>
    </row>
    <row r="10" spans="1:7" ht="25.5" customHeight="1" x14ac:dyDescent="0.35">
      <c r="A10" s="9">
        <v>5</v>
      </c>
      <c r="B10" s="10" t="s">
        <v>394</v>
      </c>
      <c r="C10" s="10" t="s">
        <v>395</v>
      </c>
      <c r="D10" s="10" t="s">
        <v>391</v>
      </c>
      <c r="E10" s="10" t="s">
        <v>392</v>
      </c>
      <c r="F10" s="10" t="s">
        <v>40</v>
      </c>
      <c r="G10" s="10" t="s">
        <v>396</v>
      </c>
    </row>
    <row r="11" spans="1:7" ht="38.25" customHeight="1" x14ac:dyDescent="0.35">
      <c r="A11" s="9">
        <v>6</v>
      </c>
      <c r="B11" s="10" t="s">
        <v>377</v>
      </c>
      <c r="C11" s="10" t="s">
        <v>378</v>
      </c>
      <c r="D11" s="10" t="s">
        <v>379</v>
      </c>
      <c r="E11" s="10" t="s">
        <v>380</v>
      </c>
      <c r="F11" s="10" t="s">
        <v>41</v>
      </c>
      <c r="G11" s="10" t="s">
        <v>381</v>
      </c>
    </row>
    <row r="12" spans="1:7" x14ac:dyDescent="0.35">
      <c r="A12" s="23" t="s">
        <v>397</v>
      </c>
      <c r="B12" s="24"/>
      <c r="C12" s="24"/>
      <c r="D12" s="24"/>
      <c r="E12" s="24"/>
      <c r="F12" s="24"/>
      <c r="G12" s="25"/>
    </row>
    <row r="13" spans="1:7" ht="25.5" customHeight="1" x14ac:dyDescent="0.35">
      <c r="A13" s="9">
        <v>7</v>
      </c>
      <c r="B13" s="10" t="s">
        <v>398</v>
      </c>
      <c r="C13" s="10" t="s">
        <v>399</v>
      </c>
      <c r="D13" s="10" t="s">
        <v>400</v>
      </c>
      <c r="E13" s="10" t="s">
        <v>392</v>
      </c>
      <c r="F13" s="10" t="s">
        <v>41</v>
      </c>
      <c r="G13" s="10"/>
    </row>
    <row r="14" spans="1:7" ht="25.5" customHeight="1" x14ac:dyDescent="0.35">
      <c r="A14" s="16">
        <v>8</v>
      </c>
      <c r="B14" s="17" t="s">
        <v>401</v>
      </c>
      <c r="C14" s="17" t="s">
        <v>402</v>
      </c>
      <c r="D14" s="17" t="s">
        <v>403</v>
      </c>
      <c r="E14" s="17" t="s">
        <v>392</v>
      </c>
      <c r="F14" s="17" t="s">
        <v>41</v>
      </c>
      <c r="G14" s="17" t="s">
        <v>385</v>
      </c>
    </row>
    <row r="15" spans="1:7" x14ac:dyDescent="0.35">
      <c r="A15" s="9">
        <v>9</v>
      </c>
      <c r="B15" s="10" t="s">
        <v>404</v>
      </c>
      <c r="C15" s="10" t="s">
        <v>405</v>
      </c>
      <c r="D15" s="10" t="s">
        <v>406</v>
      </c>
      <c r="E15" s="10" t="s">
        <v>392</v>
      </c>
      <c r="F15" s="10" t="s">
        <v>14</v>
      </c>
      <c r="G15" s="10"/>
    </row>
    <row r="16" spans="1:7" ht="25.5" customHeight="1" x14ac:dyDescent="0.35">
      <c r="A16" s="9">
        <v>10</v>
      </c>
      <c r="B16" s="10" t="s">
        <v>407</v>
      </c>
      <c r="C16" s="10" t="s">
        <v>408</v>
      </c>
      <c r="D16" s="10" t="s">
        <v>407</v>
      </c>
      <c r="E16" s="10" t="s">
        <v>380</v>
      </c>
      <c r="F16" s="10" t="s">
        <v>41</v>
      </c>
      <c r="G16" s="10" t="s">
        <v>385</v>
      </c>
    </row>
    <row r="17" spans="1:7" x14ac:dyDescent="0.35">
      <c r="A17" s="9">
        <v>11</v>
      </c>
      <c r="B17" s="10" t="s">
        <v>409</v>
      </c>
      <c r="C17" s="10" t="s">
        <v>410</v>
      </c>
      <c r="D17" s="10" t="s">
        <v>411</v>
      </c>
      <c r="E17" s="10" t="s">
        <v>392</v>
      </c>
      <c r="F17" s="10" t="s">
        <v>14</v>
      </c>
      <c r="G17" s="10"/>
    </row>
    <row r="18" spans="1:7" ht="25.5" customHeight="1" x14ac:dyDescent="0.35">
      <c r="A18" s="9">
        <v>12</v>
      </c>
      <c r="B18" s="10" t="s">
        <v>412</v>
      </c>
      <c r="C18" s="10" t="s">
        <v>413</v>
      </c>
      <c r="D18" s="10" t="s">
        <v>411</v>
      </c>
      <c r="E18" s="10" t="s">
        <v>380</v>
      </c>
      <c r="F18" s="10" t="s">
        <v>41</v>
      </c>
      <c r="G18" s="10" t="s">
        <v>385</v>
      </c>
    </row>
    <row r="19" spans="1:7" x14ac:dyDescent="0.35">
      <c r="A19" s="9">
        <v>13</v>
      </c>
      <c r="B19" s="14"/>
      <c r="C19" s="14"/>
      <c r="D19" s="14"/>
      <c r="E19" s="14"/>
      <c r="F19" s="14"/>
      <c r="G19" s="15"/>
    </row>
    <row r="20" spans="1:7" x14ac:dyDescent="0.35">
      <c r="A20" s="9">
        <v>14</v>
      </c>
      <c r="B20" s="10" t="s">
        <v>414</v>
      </c>
      <c r="C20" s="10" t="s">
        <v>415</v>
      </c>
      <c r="D20" s="10" t="s">
        <v>411</v>
      </c>
      <c r="E20" s="10" t="s">
        <v>416</v>
      </c>
      <c r="F20" s="10" t="s">
        <v>43</v>
      </c>
      <c r="G20" s="10" t="s">
        <v>417</v>
      </c>
    </row>
    <row r="21" spans="1:7" ht="39" x14ac:dyDescent="0.35">
      <c r="A21" s="9">
        <v>15</v>
      </c>
      <c r="B21" s="10" t="s">
        <v>418</v>
      </c>
      <c r="C21" s="10" t="s">
        <v>419</v>
      </c>
      <c r="D21" s="10" t="s">
        <v>420</v>
      </c>
      <c r="E21" s="10" t="s">
        <v>392</v>
      </c>
      <c r="F21" s="10" t="s">
        <v>41</v>
      </c>
      <c r="G21" s="10" t="s">
        <v>381</v>
      </c>
    </row>
    <row r="22" spans="1:7" ht="25.5" customHeight="1" x14ac:dyDescent="0.35">
      <c r="A22" s="9">
        <v>16</v>
      </c>
      <c r="B22" s="10" t="s">
        <v>421</v>
      </c>
      <c r="C22" s="10" t="s">
        <v>422</v>
      </c>
      <c r="D22" s="10" t="s">
        <v>423</v>
      </c>
      <c r="E22" s="10" t="s">
        <v>380</v>
      </c>
      <c r="F22" s="10" t="s">
        <v>40</v>
      </c>
      <c r="G22" s="10" t="s">
        <v>424</v>
      </c>
    </row>
    <row r="23" spans="1:7" x14ac:dyDescent="0.35">
      <c r="A23" s="23" t="s">
        <v>425</v>
      </c>
      <c r="B23" s="24"/>
      <c r="C23" s="24"/>
      <c r="D23" s="24"/>
      <c r="E23" s="24"/>
      <c r="F23" s="24"/>
      <c r="G23" s="25"/>
    </row>
    <row r="24" spans="1:7" ht="25.5" customHeight="1" x14ac:dyDescent="0.35">
      <c r="A24" s="9">
        <v>17</v>
      </c>
      <c r="B24" s="10" t="s">
        <v>426</v>
      </c>
      <c r="C24" s="10" t="s">
        <v>427</v>
      </c>
      <c r="D24" s="10" t="s">
        <v>428</v>
      </c>
      <c r="E24" s="10" t="s">
        <v>392</v>
      </c>
      <c r="F24" s="10" t="s">
        <v>41</v>
      </c>
      <c r="G24" s="10" t="s">
        <v>385</v>
      </c>
    </row>
    <row r="25" spans="1:7" x14ac:dyDescent="0.35">
      <c r="A25" s="9">
        <v>18</v>
      </c>
      <c r="B25" s="10" t="s">
        <v>429</v>
      </c>
      <c r="C25" s="10" t="s">
        <v>430</v>
      </c>
      <c r="D25" s="10" t="s">
        <v>5</v>
      </c>
      <c r="E25" s="10" t="s">
        <v>416</v>
      </c>
      <c r="F25" s="10" t="s">
        <v>14</v>
      </c>
      <c r="G25" s="10" t="s">
        <v>431</v>
      </c>
    </row>
    <row r="27" spans="1:7" x14ac:dyDescent="0.35">
      <c r="A27" s="18" t="s">
        <v>432</v>
      </c>
    </row>
    <row r="28" spans="1:7" ht="39" x14ac:dyDescent="0.35">
      <c r="A28" s="16"/>
      <c r="B28" s="17" t="s">
        <v>433</v>
      </c>
      <c r="C28" s="17" t="s">
        <v>591</v>
      </c>
      <c r="D28" s="17" t="s">
        <v>434</v>
      </c>
      <c r="E28" s="17" t="s">
        <v>219</v>
      </c>
      <c r="F28" s="17" t="s">
        <v>41</v>
      </c>
      <c r="G28" s="17" t="s">
        <v>435</v>
      </c>
    </row>
    <row r="29" spans="1:7" ht="52" x14ac:dyDescent="0.35">
      <c r="A29" s="16"/>
      <c r="B29" s="17" t="s">
        <v>436</v>
      </c>
      <c r="C29" s="17" t="s">
        <v>437</v>
      </c>
      <c r="D29" s="17" t="s">
        <v>438</v>
      </c>
      <c r="E29" s="17" t="s">
        <v>380</v>
      </c>
      <c r="F29" s="17" t="s">
        <v>41</v>
      </c>
      <c r="G29" s="17" t="s">
        <v>385</v>
      </c>
    </row>
    <row r="30" spans="1:7" ht="39" x14ac:dyDescent="0.35">
      <c r="A30" s="16"/>
      <c r="B30" s="17" t="s">
        <v>439</v>
      </c>
      <c r="C30" s="17" t="s">
        <v>440</v>
      </c>
      <c r="D30" s="17" t="s">
        <v>441</v>
      </c>
      <c r="E30" s="17" t="s">
        <v>380</v>
      </c>
      <c r="F30" s="17" t="s">
        <v>40</v>
      </c>
      <c r="G30" s="17" t="s">
        <v>442</v>
      </c>
    </row>
    <row r="31" spans="1:7" ht="26" x14ac:dyDescent="0.35">
      <c r="A31" s="16"/>
      <c r="B31" s="17" t="s">
        <v>443</v>
      </c>
      <c r="C31" s="17" t="s">
        <v>444</v>
      </c>
      <c r="D31" s="17" t="s">
        <v>445</v>
      </c>
      <c r="E31" s="17" t="s">
        <v>380</v>
      </c>
      <c r="F31" s="17" t="s">
        <v>14</v>
      </c>
      <c r="G31" s="17" t="s">
        <v>446</v>
      </c>
    </row>
    <row r="32" spans="1:7" ht="26" x14ac:dyDescent="0.35">
      <c r="A32" s="16"/>
      <c r="B32" s="17" t="s">
        <v>447</v>
      </c>
      <c r="C32" s="17" t="s">
        <v>448</v>
      </c>
      <c r="D32" s="17" t="s">
        <v>449</v>
      </c>
      <c r="E32" s="17" t="s">
        <v>392</v>
      </c>
      <c r="F32" s="17" t="s">
        <v>43</v>
      </c>
      <c r="G32" s="17" t="s">
        <v>450</v>
      </c>
    </row>
    <row r="33" spans="1:7" ht="26" x14ac:dyDescent="0.35">
      <c r="A33" s="16"/>
      <c r="B33" s="17" t="s">
        <v>451</v>
      </c>
      <c r="C33" s="17" t="s">
        <v>452</v>
      </c>
      <c r="D33" s="17" t="s">
        <v>453</v>
      </c>
      <c r="E33" s="17" t="s">
        <v>380</v>
      </c>
      <c r="F33" s="17" t="s">
        <v>14</v>
      </c>
      <c r="G33" s="17" t="s">
        <v>454</v>
      </c>
    </row>
    <row r="34" spans="1:7" ht="26" x14ac:dyDescent="0.35">
      <c r="A34" s="16"/>
      <c r="B34" s="17" t="s">
        <v>455</v>
      </c>
      <c r="C34" s="17" t="s">
        <v>456</v>
      </c>
      <c r="D34" s="17" t="s">
        <v>457</v>
      </c>
      <c r="E34" s="17" t="s">
        <v>380</v>
      </c>
      <c r="F34" s="17" t="s">
        <v>41</v>
      </c>
      <c r="G34" s="17" t="s">
        <v>385</v>
      </c>
    </row>
    <row r="35" spans="1:7" ht="39" x14ac:dyDescent="0.35">
      <c r="A35" s="16"/>
      <c r="B35" s="17" t="s">
        <v>458</v>
      </c>
      <c r="C35" s="17" t="s">
        <v>459</v>
      </c>
      <c r="D35" s="17" t="s">
        <v>460</v>
      </c>
      <c r="E35" s="17" t="s">
        <v>219</v>
      </c>
      <c r="F35" s="17" t="s">
        <v>41</v>
      </c>
      <c r="G35" s="17" t="s">
        <v>381</v>
      </c>
    </row>
    <row r="36" spans="1:7" ht="26" x14ac:dyDescent="0.35">
      <c r="A36" s="16"/>
      <c r="B36" s="17" t="s">
        <v>461</v>
      </c>
      <c r="C36" s="17" t="s">
        <v>462</v>
      </c>
      <c r="D36" s="17" t="s">
        <v>463</v>
      </c>
      <c r="E36" s="17" t="s">
        <v>392</v>
      </c>
      <c r="F36" s="17" t="s">
        <v>43</v>
      </c>
      <c r="G36" s="17" t="s">
        <v>381</v>
      </c>
    </row>
    <row r="37" spans="1:7" ht="26" x14ac:dyDescent="0.35">
      <c r="A37" s="16"/>
      <c r="B37" s="17" t="s">
        <v>464</v>
      </c>
      <c r="C37" s="17" t="s">
        <v>465</v>
      </c>
      <c r="D37" s="17" t="s">
        <v>466</v>
      </c>
      <c r="E37" s="17" t="s">
        <v>219</v>
      </c>
      <c r="F37" s="17" t="s">
        <v>41</v>
      </c>
      <c r="G37" s="17" t="s">
        <v>467</v>
      </c>
    </row>
    <row r="38" spans="1:7" ht="39" x14ac:dyDescent="0.35">
      <c r="A38" s="16"/>
      <c r="B38" s="17" t="s">
        <v>468</v>
      </c>
      <c r="C38" s="17" t="s">
        <v>469</v>
      </c>
      <c r="D38" s="17" t="s">
        <v>470</v>
      </c>
      <c r="E38" s="17" t="s">
        <v>380</v>
      </c>
      <c r="F38" s="17" t="s">
        <v>14</v>
      </c>
      <c r="G38" s="17" t="s">
        <v>471</v>
      </c>
    </row>
    <row r="39" spans="1:7" ht="52" x14ac:dyDescent="0.35">
      <c r="A39" s="16"/>
      <c r="B39" s="17" t="s">
        <v>472</v>
      </c>
      <c r="C39" s="17" t="s">
        <v>473</v>
      </c>
      <c r="D39" s="17" t="s">
        <v>470</v>
      </c>
      <c r="E39" s="17" t="s">
        <v>380</v>
      </c>
      <c r="F39" s="17" t="s">
        <v>14</v>
      </c>
      <c r="G39" s="17" t="s">
        <v>474</v>
      </c>
    </row>
    <row r="40" spans="1:7" ht="26" x14ac:dyDescent="0.35">
      <c r="A40" s="16"/>
      <c r="B40" s="17" t="s">
        <v>475</v>
      </c>
      <c r="C40" s="17" t="s">
        <v>476</v>
      </c>
      <c r="D40" s="17" t="s">
        <v>477</v>
      </c>
      <c r="E40" s="17" t="s">
        <v>380</v>
      </c>
      <c r="F40" s="17" t="s">
        <v>40</v>
      </c>
      <c r="G40" s="17" t="s">
        <v>478</v>
      </c>
    </row>
    <row r="41" spans="1:7" ht="39" x14ac:dyDescent="0.35">
      <c r="A41" s="16"/>
      <c r="B41" s="17" t="s">
        <v>479</v>
      </c>
      <c r="C41" s="17" t="s">
        <v>480</v>
      </c>
      <c r="D41" s="17" t="s">
        <v>477</v>
      </c>
      <c r="E41" s="17" t="s">
        <v>392</v>
      </c>
      <c r="F41" s="17" t="s">
        <v>14</v>
      </c>
      <c r="G41" s="17" t="s">
        <v>481</v>
      </c>
    </row>
    <row r="42" spans="1:7" ht="39" x14ac:dyDescent="0.35">
      <c r="A42" s="16"/>
      <c r="B42" s="17" t="s">
        <v>482</v>
      </c>
      <c r="C42" s="17" t="s">
        <v>483</v>
      </c>
      <c r="D42" s="17" t="s">
        <v>484</v>
      </c>
      <c r="E42" s="17" t="s">
        <v>380</v>
      </c>
      <c r="F42" s="17" t="s">
        <v>40</v>
      </c>
      <c r="G42" s="17" t="s">
        <v>485</v>
      </c>
    </row>
    <row r="43" spans="1:7" ht="39" x14ac:dyDescent="0.35">
      <c r="A43" s="16"/>
      <c r="B43" s="17" t="s">
        <v>486</v>
      </c>
      <c r="C43" s="17" t="s">
        <v>487</v>
      </c>
      <c r="D43" s="17" t="s">
        <v>470</v>
      </c>
      <c r="E43" s="17" t="s">
        <v>219</v>
      </c>
      <c r="F43" s="17" t="s">
        <v>41</v>
      </c>
      <c r="G43" s="17" t="s">
        <v>488</v>
      </c>
    </row>
    <row r="44" spans="1:7" ht="26" x14ac:dyDescent="0.35">
      <c r="A44" s="16"/>
      <c r="B44" s="17" t="s">
        <v>489</v>
      </c>
      <c r="C44" s="17" t="s">
        <v>490</v>
      </c>
      <c r="D44" s="17" t="s">
        <v>441</v>
      </c>
      <c r="E44" s="17" t="s">
        <v>219</v>
      </c>
      <c r="F44" s="17" t="s">
        <v>41</v>
      </c>
      <c r="G44" s="17" t="s">
        <v>381</v>
      </c>
    </row>
    <row r="45" spans="1:7" ht="26" x14ac:dyDescent="0.35">
      <c r="A45" s="16"/>
      <c r="B45" s="17" t="s">
        <v>491</v>
      </c>
      <c r="C45" s="17" t="s">
        <v>492</v>
      </c>
      <c r="D45" s="17" t="s">
        <v>493</v>
      </c>
      <c r="E45" s="17" t="s">
        <v>219</v>
      </c>
      <c r="F45" s="17" t="s">
        <v>41</v>
      </c>
      <c r="G45" s="17" t="s">
        <v>381</v>
      </c>
    </row>
    <row r="46" spans="1:7" ht="39" x14ac:dyDescent="0.35">
      <c r="A46" s="16"/>
      <c r="B46" s="17" t="s">
        <v>494</v>
      </c>
      <c r="C46" s="17" t="s">
        <v>495</v>
      </c>
      <c r="D46" s="17" t="s">
        <v>496</v>
      </c>
      <c r="E46" s="17" t="s">
        <v>219</v>
      </c>
      <c r="F46" s="17" t="s">
        <v>41</v>
      </c>
      <c r="G46" s="17" t="s">
        <v>381</v>
      </c>
    </row>
    <row r="47" spans="1:7" ht="39" x14ac:dyDescent="0.35">
      <c r="A47" s="16"/>
      <c r="B47" s="17" t="s">
        <v>497</v>
      </c>
      <c r="C47" s="17" t="s">
        <v>498</v>
      </c>
      <c r="D47" s="17" t="s">
        <v>477</v>
      </c>
      <c r="E47" s="17" t="s">
        <v>219</v>
      </c>
      <c r="F47" s="17" t="s">
        <v>41</v>
      </c>
      <c r="G47" s="17" t="s">
        <v>381</v>
      </c>
    </row>
    <row r="48" spans="1:7" ht="26" x14ac:dyDescent="0.35">
      <c r="A48" s="16"/>
      <c r="B48" s="17" t="s">
        <v>499</v>
      </c>
      <c r="C48" s="17" t="s">
        <v>500</v>
      </c>
      <c r="D48" s="17" t="s">
        <v>501</v>
      </c>
      <c r="E48" s="17" t="s">
        <v>219</v>
      </c>
      <c r="F48" s="17" t="s">
        <v>41</v>
      </c>
      <c r="G48" s="17" t="s">
        <v>502</v>
      </c>
    </row>
    <row r="49" spans="1:7" ht="39" x14ac:dyDescent="0.35">
      <c r="A49" s="16"/>
      <c r="B49" s="17" t="s">
        <v>503</v>
      </c>
      <c r="C49" s="17" t="s">
        <v>504</v>
      </c>
      <c r="D49" s="17" t="s">
        <v>466</v>
      </c>
      <c r="E49" s="17" t="s">
        <v>219</v>
      </c>
      <c r="F49" s="17" t="s">
        <v>41</v>
      </c>
      <c r="G49" s="17" t="s">
        <v>505</v>
      </c>
    </row>
    <row r="50" spans="1:7" ht="26" x14ac:dyDescent="0.35">
      <c r="A50" s="16"/>
      <c r="B50" s="17" t="s">
        <v>506</v>
      </c>
      <c r="C50" s="17" t="s">
        <v>507</v>
      </c>
      <c r="D50" s="17" t="s">
        <v>466</v>
      </c>
      <c r="E50" s="17" t="s">
        <v>219</v>
      </c>
      <c r="F50" s="17" t="s">
        <v>41</v>
      </c>
      <c r="G50" s="17" t="s">
        <v>381</v>
      </c>
    </row>
    <row r="51" spans="1:7" ht="39" x14ac:dyDescent="0.35">
      <c r="A51" s="16"/>
      <c r="B51" s="17" t="s">
        <v>508</v>
      </c>
      <c r="C51" s="17" t="s">
        <v>509</v>
      </c>
      <c r="D51" s="17" t="s">
        <v>510</v>
      </c>
      <c r="E51" s="17" t="s">
        <v>219</v>
      </c>
      <c r="F51" s="17" t="s">
        <v>41</v>
      </c>
      <c r="G51" s="17" t="s">
        <v>381</v>
      </c>
    </row>
    <row r="52" spans="1:7" x14ac:dyDescent="0.35">
      <c r="A52" s="16"/>
      <c r="B52" s="17" t="s">
        <v>511</v>
      </c>
      <c r="C52" s="17" t="s">
        <v>512</v>
      </c>
      <c r="D52" s="17" t="s">
        <v>510</v>
      </c>
      <c r="E52" s="17" t="s">
        <v>219</v>
      </c>
      <c r="F52" s="17" t="s">
        <v>41</v>
      </c>
      <c r="G52" s="17" t="s">
        <v>513</v>
      </c>
    </row>
    <row r="53" spans="1:7" ht="78" x14ac:dyDescent="0.35">
      <c r="A53" s="16"/>
      <c r="B53" s="17" t="s">
        <v>514</v>
      </c>
      <c r="C53" s="17" t="s">
        <v>515</v>
      </c>
      <c r="D53" s="17" t="s">
        <v>516</v>
      </c>
      <c r="E53" s="17" t="s">
        <v>380</v>
      </c>
      <c r="F53" s="17" t="s">
        <v>40</v>
      </c>
      <c r="G53" s="17" t="s">
        <v>517</v>
      </c>
    </row>
    <row r="54" spans="1:7" ht="78" x14ac:dyDescent="0.35">
      <c r="A54" s="16"/>
      <c r="B54" s="17" t="s">
        <v>518</v>
      </c>
      <c r="C54" s="17" t="s">
        <v>588</v>
      </c>
      <c r="D54" s="17" t="s">
        <v>519</v>
      </c>
      <c r="E54" s="17" t="s">
        <v>392</v>
      </c>
      <c r="F54" s="17" t="s">
        <v>41</v>
      </c>
      <c r="G54" s="17" t="s">
        <v>385</v>
      </c>
    </row>
    <row r="55" spans="1:7" ht="39" x14ac:dyDescent="0.35">
      <c r="A55" s="16"/>
      <c r="B55" s="17" t="s">
        <v>520</v>
      </c>
      <c r="C55" s="17" t="s">
        <v>521</v>
      </c>
      <c r="D55" s="17" t="s">
        <v>516</v>
      </c>
      <c r="E55" s="17" t="s">
        <v>219</v>
      </c>
      <c r="F55" s="17" t="s">
        <v>41</v>
      </c>
      <c r="G55" s="17" t="s">
        <v>502</v>
      </c>
    </row>
    <row r="56" spans="1:7" x14ac:dyDescent="0.35">
      <c r="A56" s="16"/>
      <c r="B56" s="17" t="s">
        <v>522</v>
      </c>
      <c r="C56" s="17" t="s">
        <v>523</v>
      </c>
      <c r="D56" s="17" t="s">
        <v>441</v>
      </c>
      <c r="E56" s="17" t="s">
        <v>416</v>
      </c>
      <c r="F56" s="17" t="s">
        <v>41</v>
      </c>
      <c r="G56" s="17" t="s">
        <v>385</v>
      </c>
    </row>
    <row r="57" spans="1:7" ht="52" x14ac:dyDescent="0.35">
      <c r="A57" s="16"/>
      <c r="B57" s="17" t="s">
        <v>524</v>
      </c>
      <c r="C57" s="17" t="s">
        <v>525</v>
      </c>
      <c r="D57" s="17" t="s">
        <v>466</v>
      </c>
      <c r="E57" s="17" t="s">
        <v>219</v>
      </c>
      <c r="F57" s="17" t="s">
        <v>41</v>
      </c>
      <c r="G57" s="17" t="s">
        <v>502</v>
      </c>
    </row>
    <row r="58" spans="1:7" ht="39" x14ac:dyDescent="0.35">
      <c r="A58" s="16"/>
      <c r="B58" s="17" t="s">
        <v>526</v>
      </c>
      <c r="C58" s="17" t="s">
        <v>527</v>
      </c>
      <c r="D58" s="17" t="s">
        <v>528</v>
      </c>
      <c r="E58" s="17" t="s">
        <v>392</v>
      </c>
      <c r="F58" s="17" t="s">
        <v>14</v>
      </c>
      <c r="G58" s="17" t="s">
        <v>529</v>
      </c>
    </row>
    <row r="59" spans="1:7" ht="52" x14ac:dyDescent="0.35">
      <c r="A59" s="16"/>
      <c r="B59" s="17" t="s">
        <v>530</v>
      </c>
      <c r="C59" s="17" t="s">
        <v>589</v>
      </c>
      <c r="D59" s="17" t="s">
        <v>531</v>
      </c>
      <c r="E59" s="17" t="s">
        <v>219</v>
      </c>
      <c r="F59" s="17" t="s">
        <v>41</v>
      </c>
      <c r="G59" s="17" t="s">
        <v>532</v>
      </c>
    </row>
  </sheetData>
  <autoFilter ref="A4:G29" xr:uid="{00000000-0009-0000-0000-000002000000}"/>
  <mergeCells count="5">
    <mergeCell ref="A1:G1"/>
    <mergeCell ref="A12:G12"/>
    <mergeCell ref="A2:G2"/>
    <mergeCell ref="A5:G5"/>
    <mergeCell ref="A23:G23"/>
  </mergeCells>
  <conditionalFormatting sqref="F5:F29">
    <cfRule type="cellIs" dxfId="13" priority="1" operator="equal">
      <formula>"Klaar"</formula>
    </cfRule>
    <cfRule type="cellIs" dxfId="12" priority="2" operator="equal">
      <formula>"Bezig"</formula>
    </cfRule>
    <cfRule type="cellIs" dxfId="11" priority="3" operator="equal">
      <formula>"Geblokkeerd"</formula>
    </cfRule>
    <cfRule type="cellIs" dxfId="10" priority="4" operator="equal">
      <formula>"Vervalt"</formula>
    </cfRule>
  </conditionalFormatting>
  <dataValidations count="1">
    <dataValidation type="list" allowBlank="1" sqref="F5:F29 F38:F43 F44:F46 F47:F49 F50:F53 F54 F55:F56 F57:F58 F59" xr:uid="{00000000-0002-0000-0200-000000000000}">
      <formula1>"Te doen,Bezig,Klaar,Geblokkeerd,Vervalt"</formula1>
    </dataValidation>
  </dataValidations>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25"/>
  <sheetViews>
    <sheetView workbookViewId="0">
      <pane ySplit="4" topLeftCell="A5" activePane="bottomLeft" state="frozen"/>
      <selection pane="bottomLeft" activeCell="K28" sqref="K28"/>
    </sheetView>
  </sheetViews>
  <sheetFormatPr defaultRowHeight="14.5" x14ac:dyDescent="0.35"/>
  <cols>
    <col min="1" max="1" width="6" customWidth="1"/>
    <col min="2" max="2" width="52" customWidth="1"/>
    <col min="3" max="3" width="46" customWidth="1"/>
    <col min="4" max="4" width="34" customWidth="1"/>
    <col min="5" max="5" width="13" customWidth="1"/>
    <col min="6" max="6" width="30" customWidth="1"/>
    <col min="7" max="10" width="13" customWidth="1"/>
    <col min="11" max="11" width="24" customWidth="1"/>
  </cols>
  <sheetData>
    <row r="1" spans="1:11" ht="18.75" customHeight="1" x14ac:dyDescent="0.45">
      <c r="A1" s="21" t="s">
        <v>533</v>
      </c>
      <c r="B1" s="20"/>
      <c r="C1" s="20"/>
      <c r="D1" s="20"/>
      <c r="E1" s="20"/>
      <c r="F1" s="20"/>
    </row>
    <row r="2" spans="1:11" x14ac:dyDescent="0.35">
      <c r="A2" s="19" t="s">
        <v>534</v>
      </c>
      <c r="B2" s="20"/>
      <c r="C2" s="20"/>
      <c r="D2" s="20"/>
      <c r="E2" s="20"/>
      <c r="F2" s="20"/>
    </row>
    <row r="4" spans="1:11" ht="26.15" customHeight="1" x14ac:dyDescent="0.35">
      <c r="A4" s="8" t="s">
        <v>52</v>
      </c>
      <c r="B4" s="8" t="s">
        <v>535</v>
      </c>
      <c r="C4" s="8" t="s">
        <v>536</v>
      </c>
      <c r="D4" s="8" t="s">
        <v>537</v>
      </c>
      <c r="E4" s="8" t="s">
        <v>7</v>
      </c>
      <c r="F4" s="8" t="s">
        <v>8</v>
      </c>
    </row>
    <row r="5" spans="1:11" x14ac:dyDescent="0.35">
      <c r="A5" s="23" t="s">
        <v>538</v>
      </c>
      <c r="B5" s="24"/>
      <c r="C5" s="24"/>
      <c r="D5" s="24"/>
      <c r="E5" s="24"/>
      <c r="F5" s="25"/>
    </row>
    <row r="6" spans="1:11" ht="25.5" customHeight="1" x14ac:dyDescent="0.35">
      <c r="A6" s="9">
        <v>1</v>
      </c>
      <c r="B6" s="10" t="s">
        <v>539</v>
      </c>
      <c r="C6" s="10" t="s">
        <v>540</v>
      </c>
      <c r="D6" s="10" t="s">
        <v>541</v>
      </c>
      <c r="E6" s="10" t="s">
        <v>40</v>
      </c>
      <c r="F6" s="10"/>
    </row>
    <row r="7" spans="1:11" x14ac:dyDescent="0.35">
      <c r="A7" s="9">
        <v>2</v>
      </c>
      <c r="B7" s="10" t="s">
        <v>542</v>
      </c>
      <c r="C7" s="10" t="s">
        <v>543</v>
      </c>
      <c r="D7" s="10" t="s">
        <v>544</v>
      </c>
      <c r="E7" s="10" t="s">
        <v>14</v>
      </c>
      <c r="F7" s="10" t="s">
        <v>545</v>
      </c>
    </row>
    <row r="8" spans="1:11" x14ac:dyDescent="0.35">
      <c r="A8" s="9">
        <v>3</v>
      </c>
      <c r="B8" s="10" t="s">
        <v>546</v>
      </c>
      <c r="C8" s="10" t="s">
        <v>547</v>
      </c>
      <c r="D8" s="10" t="s">
        <v>548</v>
      </c>
      <c r="E8" s="10" t="s">
        <v>14</v>
      </c>
      <c r="F8" s="10"/>
    </row>
    <row r="9" spans="1:11" ht="25.5" customHeight="1" x14ac:dyDescent="0.35">
      <c r="A9" s="9">
        <v>4</v>
      </c>
      <c r="B9" s="10" t="s">
        <v>549</v>
      </c>
      <c r="C9" s="10" t="s">
        <v>550</v>
      </c>
      <c r="D9" s="10" t="s">
        <v>551</v>
      </c>
      <c r="E9" s="10" t="s">
        <v>14</v>
      </c>
      <c r="F9" s="10"/>
    </row>
    <row r="10" spans="1:11" x14ac:dyDescent="0.35">
      <c r="A10" s="9">
        <v>5</v>
      </c>
      <c r="B10" s="10" t="s">
        <v>552</v>
      </c>
      <c r="C10" s="10" t="s">
        <v>553</v>
      </c>
      <c r="D10" s="10" t="s">
        <v>554</v>
      </c>
      <c r="E10" s="10" t="s">
        <v>14</v>
      </c>
      <c r="F10" s="10"/>
    </row>
    <row r="11" spans="1:11" x14ac:dyDescent="0.35">
      <c r="A11" s="9">
        <v>6</v>
      </c>
      <c r="B11" s="10" t="s">
        <v>555</v>
      </c>
      <c r="C11" s="10" t="s">
        <v>556</v>
      </c>
      <c r="D11" s="10" t="s">
        <v>557</v>
      </c>
      <c r="E11" s="10" t="s">
        <v>14</v>
      </c>
      <c r="F11" s="10" t="s">
        <v>225</v>
      </c>
    </row>
    <row r="12" spans="1:11" ht="25.5" customHeight="1" x14ac:dyDescent="0.35">
      <c r="A12" s="9">
        <v>7</v>
      </c>
      <c r="B12" s="10" t="s">
        <v>558</v>
      </c>
      <c r="C12" s="10" t="s">
        <v>559</v>
      </c>
      <c r="D12" s="10" t="s">
        <v>560</v>
      </c>
      <c r="E12" s="10" t="s">
        <v>14</v>
      </c>
      <c r="F12" s="10" t="s">
        <v>561</v>
      </c>
    </row>
    <row r="14" spans="1:11" x14ac:dyDescent="0.35">
      <c r="A14" s="11" t="s">
        <v>562</v>
      </c>
    </row>
    <row r="15" spans="1:11" ht="30" customHeight="1" x14ac:dyDescent="0.35">
      <c r="A15" s="8" t="s">
        <v>52</v>
      </c>
      <c r="B15" s="8" t="s">
        <v>563</v>
      </c>
      <c r="C15" s="8" t="s">
        <v>564</v>
      </c>
      <c r="D15" s="8" t="s">
        <v>565</v>
      </c>
      <c r="E15" s="8" t="s">
        <v>566</v>
      </c>
      <c r="F15" s="8" t="s">
        <v>567</v>
      </c>
      <c r="G15" s="8" t="s">
        <v>568</v>
      </c>
      <c r="H15" s="8" t="s">
        <v>569</v>
      </c>
      <c r="I15" s="8" t="s">
        <v>570</v>
      </c>
      <c r="J15" s="8" t="s">
        <v>7</v>
      </c>
      <c r="K15" s="8" t="s">
        <v>8</v>
      </c>
    </row>
    <row r="16" spans="1:11" x14ac:dyDescent="0.35">
      <c r="A16" s="9">
        <v>1</v>
      </c>
      <c r="B16" s="10" t="s">
        <v>571</v>
      </c>
      <c r="C16" s="9" t="s">
        <v>572</v>
      </c>
      <c r="D16" s="9"/>
      <c r="E16" s="9"/>
      <c r="F16" s="9"/>
      <c r="G16" s="9"/>
      <c r="H16" s="9"/>
      <c r="I16" s="9"/>
      <c r="J16" s="9" t="s">
        <v>14</v>
      </c>
      <c r="K16" s="9"/>
    </row>
    <row r="17" spans="1:11" x14ac:dyDescent="0.35">
      <c r="A17" s="9">
        <v>2</v>
      </c>
      <c r="B17" s="10" t="s">
        <v>573</v>
      </c>
      <c r="C17" s="9" t="s">
        <v>574</v>
      </c>
      <c r="D17" s="9"/>
      <c r="E17" s="9"/>
      <c r="F17" s="9"/>
      <c r="G17" s="9"/>
      <c r="H17" s="9"/>
      <c r="I17" s="9"/>
      <c r="J17" s="9" t="s">
        <v>14</v>
      </c>
      <c r="K17" s="9"/>
    </row>
    <row r="18" spans="1:11" x14ac:dyDescent="0.35">
      <c r="A18" s="9">
        <v>3</v>
      </c>
      <c r="B18" s="10" t="s">
        <v>575</v>
      </c>
      <c r="C18" s="9" t="s">
        <v>576</v>
      </c>
      <c r="D18" s="9"/>
      <c r="E18" s="9"/>
      <c r="F18" s="9"/>
      <c r="G18" s="9"/>
      <c r="H18" s="9"/>
      <c r="I18" s="9"/>
      <c r="J18" s="9" t="s">
        <v>14</v>
      </c>
      <c r="K18" s="9"/>
    </row>
    <row r="19" spans="1:11" x14ac:dyDescent="0.35">
      <c r="A19" s="9">
        <v>4</v>
      </c>
      <c r="B19" s="10" t="s">
        <v>577</v>
      </c>
      <c r="C19" s="9" t="s">
        <v>578</v>
      </c>
      <c r="D19" s="9"/>
      <c r="E19" s="9"/>
      <c r="F19" s="9"/>
      <c r="G19" s="9"/>
      <c r="H19" s="9"/>
      <c r="I19" s="9"/>
      <c r="J19" s="9" t="s">
        <v>14</v>
      </c>
      <c r="K19" s="9"/>
    </row>
    <row r="20" spans="1:11" x14ac:dyDescent="0.35">
      <c r="A20" s="9">
        <v>5</v>
      </c>
      <c r="B20" s="10" t="s">
        <v>579</v>
      </c>
      <c r="C20" s="9" t="s">
        <v>572</v>
      </c>
      <c r="D20" s="9"/>
      <c r="E20" s="9"/>
      <c r="F20" s="9"/>
      <c r="G20" s="9"/>
      <c r="H20" s="9"/>
      <c r="I20" s="9"/>
      <c r="J20" s="9" t="s">
        <v>14</v>
      </c>
      <c r="K20" s="9"/>
    </row>
    <row r="21" spans="1:11" x14ac:dyDescent="0.35">
      <c r="A21" s="9">
        <v>6</v>
      </c>
      <c r="B21" s="10" t="s">
        <v>580</v>
      </c>
      <c r="C21" s="9" t="s">
        <v>572</v>
      </c>
      <c r="D21" s="9"/>
      <c r="E21" s="9"/>
      <c r="F21" s="9"/>
      <c r="G21" s="9"/>
      <c r="H21" s="9"/>
      <c r="I21" s="9"/>
      <c r="J21" s="9" t="s">
        <v>14</v>
      </c>
      <c r="K21" s="9"/>
    </row>
    <row r="22" spans="1:11" x14ac:dyDescent="0.35">
      <c r="A22" s="9">
        <v>7</v>
      </c>
      <c r="B22" s="10" t="s">
        <v>581</v>
      </c>
      <c r="C22" s="9" t="s">
        <v>582</v>
      </c>
      <c r="D22" s="9"/>
      <c r="E22" s="9"/>
      <c r="F22" s="9"/>
      <c r="G22" s="9"/>
      <c r="H22" s="9"/>
      <c r="I22" s="9"/>
      <c r="J22" s="9" t="s">
        <v>14</v>
      </c>
      <c r="K22" s="9"/>
    </row>
    <row r="23" spans="1:11" x14ac:dyDescent="0.35">
      <c r="A23" s="9">
        <v>8</v>
      </c>
      <c r="B23" s="10" t="s">
        <v>583</v>
      </c>
      <c r="C23" s="9" t="s">
        <v>584</v>
      </c>
      <c r="D23" s="9"/>
      <c r="E23" s="9"/>
      <c r="F23" s="9"/>
      <c r="G23" s="9"/>
      <c r="H23" s="9"/>
      <c r="I23" s="9"/>
      <c r="J23" s="9" t="s">
        <v>14</v>
      </c>
      <c r="K23" s="9"/>
    </row>
    <row r="24" spans="1:11" x14ac:dyDescent="0.35">
      <c r="A24" s="9">
        <v>9</v>
      </c>
      <c r="B24" s="10" t="s">
        <v>585</v>
      </c>
      <c r="C24" s="9" t="s">
        <v>586</v>
      </c>
      <c r="D24" s="9"/>
      <c r="E24" s="9"/>
      <c r="F24" s="9"/>
      <c r="G24" s="9"/>
      <c r="H24" s="9"/>
      <c r="I24" s="9"/>
      <c r="J24" s="9" t="s">
        <v>14</v>
      </c>
      <c r="K24" s="9"/>
    </row>
    <row r="25" spans="1:11" x14ac:dyDescent="0.35">
      <c r="A25" s="12">
        <v>10</v>
      </c>
      <c r="B25" s="10" t="s">
        <v>587</v>
      </c>
      <c r="C25" s="9" t="s">
        <v>572</v>
      </c>
      <c r="J25" s="9" t="s">
        <v>14</v>
      </c>
    </row>
  </sheetData>
  <autoFilter ref="A4:F12" xr:uid="{00000000-0009-0000-0000-000003000000}"/>
  <mergeCells count="3">
    <mergeCell ref="A2:F2"/>
    <mergeCell ref="A1:F1"/>
    <mergeCell ref="A5:F5"/>
  </mergeCells>
  <conditionalFormatting sqref="D16:I24">
    <cfRule type="cellIs" dxfId="9" priority="5" operator="equal">
      <formula>"ja"</formula>
    </cfRule>
    <cfRule type="cellIs" dxfId="8" priority="6" operator="equal">
      <formula>"nee"</formula>
    </cfRule>
  </conditionalFormatting>
  <conditionalFormatting sqref="E5:E12">
    <cfRule type="cellIs" dxfId="7" priority="1" operator="equal">
      <formula>"Klaar"</formula>
    </cfRule>
    <cfRule type="cellIs" dxfId="6" priority="2" operator="equal">
      <formula>"Bezig"</formula>
    </cfRule>
    <cfRule type="cellIs" dxfId="5" priority="3" operator="equal">
      <formula>"Geblokkeerd"</formula>
    </cfRule>
    <cfRule type="cellIs" dxfId="4" priority="4" operator="equal">
      <formula>"Vervalt"</formula>
    </cfRule>
  </conditionalFormatting>
  <dataValidations count="3">
    <dataValidation type="list" allowBlank="1" errorTitle="Ongeldige status" error="Kies een status uit de lijst." sqref="E5:E12" xr:uid="{00000000-0002-0000-0300-000000000000}">
      <formula1>"Te doen,Bezig,Klaar,Geblokkeerd,Vervalt"</formula1>
    </dataValidation>
    <dataValidation type="list" allowBlank="1" sqref="D16:I24" xr:uid="{00000000-0002-0000-0300-000001000000}">
      <formula1>"ja,nee,n.v.t."</formula1>
    </dataValidation>
    <dataValidation type="list" allowBlank="1" sqref="J16:J25" xr:uid="{00000000-0002-0000-0300-000002000000}">
      <formula1>"Te doen,Bezig,Klaar,Geblokkeerd,Vervalt"</formula1>
    </dataValidation>
  </dataValidations>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11"/>
  <sheetViews>
    <sheetView tabSelected="1" workbookViewId="0">
      <pane ySplit="4" topLeftCell="A5" activePane="bottomLeft" state="frozen"/>
      <selection pane="bottomLeft" activeCell="J21" sqref="J21"/>
    </sheetView>
  </sheetViews>
  <sheetFormatPr defaultRowHeight="14.5" x14ac:dyDescent="0.35"/>
  <cols>
    <col min="1" max="1" width="7" customWidth="1"/>
    <col min="2" max="2" width="46" customWidth="1"/>
    <col min="3" max="3" width="12" customWidth="1"/>
    <col min="4" max="5" width="20" customWidth="1"/>
    <col min="6" max="6" width="13" customWidth="1"/>
    <col min="7" max="7" width="30" customWidth="1"/>
  </cols>
  <sheetData>
    <row r="1" spans="1:7" ht="18.75" customHeight="1" x14ac:dyDescent="0.45">
      <c r="A1" s="21" t="s">
        <v>0</v>
      </c>
      <c r="B1" s="20"/>
      <c r="C1" s="20"/>
      <c r="D1" s="20"/>
      <c r="E1" s="20"/>
      <c r="F1" s="20"/>
      <c r="G1" s="20"/>
    </row>
    <row r="2" spans="1:7" x14ac:dyDescent="0.35">
      <c r="A2" s="19" t="s">
        <v>1</v>
      </c>
      <c r="B2" s="20"/>
      <c r="C2" s="20"/>
      <c r="D2" s="20"/>
      <c r="E2" s="20"/>
      <c r="F2" s="20"/>
      <c r="G2" s="20"/>
    </row>
    <row r="4" spans="1:7" ht="26.15" customHeight="1" x14ac:dyDescent="0.35">
      <c r="A4" s="8" t="s">
        <v>2</v>
      </c>
      <c r="B4" s="8" t="s">
        <v>3</v>
      </c>
      <c r="C4" s="8" t="s">
        <v>4</v>
      </c>
      <c r="D4" s="8" t="s">
        <v>5</v>
      </c>
      <c r="E4" s="8" t="s">
        <v>6</v>
      </c>
      <c r="F4" s="8" t="s">
        <v>7</v>
      </c>
      <c r="G4" s="8" t="s">
        <v>8</v>
      </c>
    </row>
    <row r="5" spans="1:7" x14ac:dyDescent="0.35">
      <c r="A5" s="9" t="s">
        <v>9</v>
      </c>
      <c r="B5" s="10" t="s">
        <v>10</v>
      </c>
      <c r="C5" s="10" t="s">
        <v>11</v>
      </c>
      <c r="D5" s="10" t="s">
        <v>12</v>
      </c>
      <c r="E5" s="10" t="s">
        <v>13</v>
      </c>
      <c r="F5" s="10" t="s">
        <v>14</v>
      </c>
      <c r="G5" s="10"/>
    </row>
    <row r="6" spans="1:7" x14ac:dyDescent="0.35">
      <c r="A6" s="9" t="s">
        <v>15</v>
      </c>
      <c r="B6" s="10" t="s">
        <v>16</v>
      </c>
      <c r="C6" s="10" t="s">
        <v>17</v>
      </c>
      <c r="D6" s="10" t="s">
        <v>12</v>
      </c>
      <c r="E6" s="10" t="s">
        <v>13</v>
      </c>
      <c r="F6" s="10" t="s">
        <v>14</v>
      </c>
      <c r="G6" s="10"/>
    </row>
    <row r="7" spans="1:7" x14ac:dyDescent="0.35">
      <c r="A7" s="9" t="s">
        <v>18</v>
      </c>
      <c r="B7" s="10" t="s">
        <v>19</v>
      </c>
      <c r="C7" s="10" t="s">
        <v>20</v>
      </c>
      <c r="D7" s="10" t="s">
        <v>12</v>
      </c>
      <c r="E7" s="10" t="s">
        <v>13</v>
      </c>
      <c r="F7" s="10" t="s">
        <v>14</v>
      </c>
      <c r="G7" s="10"/>
    </row>
    <row r="8" spans="1:7" x14ac:dyDescent="0.35">
      <c r="A8" s="9" t="s">
        <v>21</v>
      </c>
      <c r="B8" s="10" t="s">
        <v>22</v>
      </c>
      <c r="C8" s="10" t="s">
        <v>23</v>
      </c>
      <c r="D8" s="10" t="s">
        <v>24</v>
      </c>
      <c r="E8" s="10" t="s">
        <v>25</v>
      </c>
      <c r="F8" s="10" t="s">
        <v>14</v>
      </c>
      <c r="G8" s="10"/>
    </row>
    <row r="9" spans="1:7" x14ac:dyDescent="0.35">
      <c r="A9" s="9" t="s">
        <v>26</v>
      </c>
      <c r="B9" s="10" t="s">
        <v>27</v>
      </c>
      <c r="C9" s="10" t="s">
        <v>28</v>
      </c>
      <c r="D9" s="10" t="s">
        <v>29</v>
      </c>
      <c r="E9" s="10" t="s">
        <v>30</v>
      </c>
      <c r="F9" s="10" t="s">
        <v>14</v>
      </c>
      <c r="G9" s="10"/>
    </row>
    <row r="10" spans="1:7" x14ac:dyDescent="0.35">
      <c r="A10" s="9" t="s">
        <v>31</v>
      </c>
      <c r="B10" s="10" t="s">
        <v>32</v>
      </c>
      <c r="C10" s="10" t="s">
        <v>28</v>
      </c>
      <c r="D10" s="10" t="s">
        <v>29</v>
      </c>
      <c r="E10" s="10" t="s">
        <v>30</v>
      </c>
      <c r="F10" s="10" t="s">
        <v>14</v>
      </c>
      <c r="G10" s="10"/>
    </row>
    <row r="11" spans="1:7" x14ac:dyDescent="0.35">
      <c r="A11" s="9" t="s">
        <v>33</v>
      </c>
      <c r="B11" s="10" t="s">
        <v>34</v>
      </c>
      <c r="C11" s="10" t="s">
        <v>35</v>
      </c>
      <c r="D11" s="10" t="s">
        <v>36</v>
      </c>
      <c r="E11" s="10" t="s">
        <v>13</v>
      </c>
      <c r="F11" s="10" t="s">
        <v>14</v>
      </c>
      <c r="G11" s="10"/>
    </row>
  </sheetData>
  <autoFilter ref="A4:G11" xr:uid="{00000000-0009-0000-0000-000004000000}"/>
  <mergeCells count="2">
    <mergeCell ref="A2:G2"/>
    <mergeCell ref="A1:G1"/>
  </mergeCells>
  <conditionalFormatting sqref="F5:F11">
    <cfRule type="cellIs" dxfId="3" priority="1" operator="equal">
      <formula>"Klaar"</formula>
    </cfRule>
    <cfRule type="cellIs" dxfId="2" priority="2" operator="equal">
      <formula>"Bezig"</formula>
    </cfRule>
    <cfRule type="cellIs" dxfId="1" priority="3" operator="equal">
      <formula>"Geblokkeerd"</formula>
    </cfRule>
    <cfRule type="cellIs" dxfId="0" priority="4" operator="equal">
      <formula>"Vervalt"</formula>
    </cfRule>
  </conditionalFormatting>
  <dataValidations count="1">
    <dataValidation type="list" allowBlank="1" errorTitle="Ongeldige status" error="Kies een status uit de lijst." sqref="F5:F11" xr:uid="{00000000-0002-0000-0400-000000000000}">
      <formula1>"Te doen,Bezig,Klaar,Geblokkeerd,Vervalt"</formula1>
    </dataValidation>
  </dataValidations>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5</vt:i4>
      </vt:variant>
      <vt:variant>
        <vt:lpstr>Benoemde bereiken</vt:lpstr>
      </vt:variant>
      <vt:variant>
        <vt:i4>4</vt:i4>
      </vt:variant>
    </vt:vector>
  </HeadingPairs>
  <TitlesOfParts>
    <vt:vector size="9" baseType="lpstr">
      <vt:lpstr>Overzicht</vt:lpstr>
      <vt:lpstr>Taken</vt:lpstr>
      <vt:lpstr>Openstaande punten</vt:lpstr>
      <vt:lpstr>Go-NoGo</vt:lpstr>
      <vt:lpstr>Mijlpalen</vt:lpstr>
      <vt:lpstr>'Go-NoGo'!Afdruktitels</vt:lpstr>
      <vt:lpstr>Mijlpalen!Afdruktitels</vt:lpstr>
      <vt:lpstr>'Openstaande punten'!Afdruktitels</vt:lpstr>
      <vt:lpstr>Taken!Afdruktitels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Janou De Buyser</cp:lastModifiedBy>
  <dcterms:created xsi:type="dcterms:W3CDTF">2026-09-10T09:34:37Z</dcterms:created>
  <dcterms:modified xsi:type="dcterms:W3CDTF">2026-10-08T17:47:38Z</dcterms:modified>
</cp:coreProperties>
</file>